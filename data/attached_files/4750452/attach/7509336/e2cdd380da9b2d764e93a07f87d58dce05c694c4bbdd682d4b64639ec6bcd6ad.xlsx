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IT-Royal\Desktop\정보화시스템 고도화\"/>
    </mc:Choice>
  </mc:AlternateContent>
  <xr:revisionPtr revIDLastSave="0" documentId="8_{938D7514-6F93-4B1F-B8D2-7AA5B14605B9}" xr6:coauthVersionLast="47" xr6:coauthVersionMax="47" xr10:uidLastSave="{00000000-0000-0000-0000-000000000000}"/>
  <bookViews>
    <workbookView xWindow="-120" yWindow="-120" windowWidth="29040" windowHeight="15840" xr2:uid="{12FEFF15-02EB-4207-BB05-CDD407270B77}"/>
  </bookViews>
  <sheets>
    <sheet name="슬리팅관련" sheetId="1" r:id="rId1"/>
    <sheet name="슬리팅관련 화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1" i="2" l="1"/>
  <c r="N81" i="2"/>
  <c r="L31" i="2"/>
  <c r="M30" i="2"/>
  <c r="M29" i="2"/>
  <c r="M31" i="2" s="1"/>
  <c r="P24" i="2"/>
  <c r="R24" i="2" s="1"/>
  <c r="M24" i="2"/>
  <c r="N24" i="2" s="1"/>
  <c r="L30" i="2" s="1"/>
  <c r="Q23" i="2"/>
  <c r="P23" i="2"/>
  <c r="R23" i="2" s="1"/>
  <c r="S23" i="2" s="1"/>
  <c r="O23" i="2"/>
  <c r="O24" i="2" s="1"/>
  <c r="N23" i="2"/>
  <c r="M23" i="2"/>
  <c r="I23" i="2"/>
  <c r="I22" i="2"/>
  <c r="I21" i="2"/>
  <c r="F20" i="1"/>
  <c r="H20" i="1"/>
  <c r="F21" i="1"/>
  <c r="H21" i="1"/>
  <c r="G24" i="1"/>
  <c r="F36" i="1"/>
  <c r="H36" i="1"/>
  <c r="F37" i="1"/>
  <c r="H37" i="1"/>
  <c r="G40" i="1"/>
  <c r="K44" i="1" s="1"/>
  <c r="F68" i="1"/>
  <c r="I68" i="1"/>
  <c r="I73" i="1" s="1"/>
  <c r="I74" i="1" s="1"/>
  <c r="F69" i="1"/>
  <c r="I69" i="1"/>
  <c r="F70" i="1"/>
  <c r="I70" i="1" s="1"/>
  <c r="F71" i="1"/>
  <c r="I71" i="1" s="1"/>
  <c r="F72" i="1"/>
  <c r="I72" i="1"/>
  <c r="D81" i="1"/>
  <c r="E81" i="1"/>
  <c r="F81" i="1"/>
  <c r="D82" i="1"/>
  <c r="E82" i="1"/>
  <c r="F82" i="1"/>
  <c r="D83" i="1"/>
  <c r="E83" i="1"/>
  <c r="F83" i="1"/>
  <c r="D84" i="1"/>
  <c r="E84" i="1"/>
  <c r="F84" i="1" s="1"/>
  <c r="N111" i="1"/>
  <c r="P111" i="1"/>
</calcChain>
</file>

<file path=xl/sharedStrings.xml><?xml version="1.0" encoding="utf-8"?>
<sst xmlns="http://schemas.openxmlformats.org/spreadsheetml/2006/main" count="381" uniqueCount="217">
  <si>
    <r>
      <t>Sliting #1/ X</t>
    </r>
    <r>
      <rPr>
        <sz val="11"/>
        <color theme="1"/>
        <rFont val="맑은 고딕"/>
        <family val="2"/>
        <scheme val="minor"/>
      </rPr>
      <t>ưở</t>
    </r>
    <r>
      <rPr>
        <sz val="11"/>
        <color theme="1"/>
        <rFont val="맑은 고딕"/>
        <family val="2"/>
        <charset val="129"/>
        <scheme val="minor"/>
      </rPr>
      <t>ng A/ SHIN-E TECH</t>
    </r>
    <phoneticPr fontId="3" type="noConversion"/>
  </si>
  <si>
    <t>MC100001</t>
  </si>
  <si>
    <t>9200382149-1</t>
    <phoneticPr fontId="3" type="noConversion"/>
  </si>
  <si>
    <t>PD20230500510</t>
  </si>
  <si>
    <t>CW02AN50</t>
  </si>
  <si>
    <t>0101-1164-1050</t>
  </si>
  <si>
    <t>작업시간</t>
    <phoneticPr fontId="3" type="noConversion"/>
  </si>
  <si>
    <t>슬리팅설비 내역</t>
    <phoneticPr fontId="3" type="noConversion"/>
  </si>
  <si>
    <t>슬리팅설비</t>
    <phoneticPr fontId="3" type="noConversion"/>
  </si>
  <si>
    <t>Loss금액</t>
    <phoneticPr fontId="3" type="noConversion"/>
  </si>
  <si>
    <t>SQM단가</t>
    <phoneticPr fontId="3" type="noConversion"/>
  </si>
  <si>
    <t>SQM</t>
    <phoneticPr fontId="3" type="noConversion"/>
  </si>
  <si>
    <t>Loss길이</t>
    <phoneticPr fontId="3" type="noConversion"/>
  </si>
  <si>
    <t>Loss폭</t>
    <phoneticPr fontId="3" type="noConversion"/>
  </si>
  <si>
    <t>원단길이</t>
    <phoneticPr fontId="3" type="noConversion"/>
  </si>
  <si>
    <t>원단폭</t>
    <phoneticPr fontId="3" type="noConversion"/>
  </si>
  <si>
    <t>MR LOT</t>
    <phoneticPr fontId="3" type="noConversion"/>
  </si>
  <si>
    <t>오더번호</t>
    <phoneticPr fontId="3" type="noConversion"/>
  </si>
  <si>
    <t>품목명</t>
    <phoneticPr fontId="3" type="noConversion"/>
  </si>
  <si>
    <t>품목CODE</t>
    <phoneticPr fontId="3" type="noConversion"/>
  </si>
  <si>
    <t xml:space="preserve">        - 신규 반영화면(예상화면 구성)</t>
    <phoneticPr fontId="3" type="noConversion"/>
  </si>
  <si>
    <t xml:space="preserve">        - 구 전산 장표 화면</t>
    <phoneticPr fontId="3" type="noConversion"/>
  </si>
  <si>
    <t xml:space="preserve">           &gt; 재단 금액</t>
    <phoneticPr fontId="3" type="noConversion"/>
  </si>
  <si>
    <t xml:space="preserve">           &gt; 재단 loss율</t>
    <phoneticPr fontId="3" type="noConversion"/>
  </si>
  <si>
    <t xml:space="preserve">          * 보고내용</t>
    <phoneticPr fontId="3" type="noConversion"/>
  </si>
  <si>
    <t xml:space="preserve">        - 해당 자료로 금액 보고도 이루어짐</t>
    <phoneticPr fontId="3" type="noConversion"/>
  </si>
  <si>
    <t xml:space="preserve">        - 기존 POP 구현 화면</t>
    <phoneticPr fontId="3" type="noConversion"/>
  </si>
  <si>
    <t xml:space="preserve">    4) 슬리팅 loss 관련 장표 별도 구현 필요</t>
    <phoneticPr fontId="3" type="noConversion"/>
  </si>
  <si>
    <t>LOSS</t>
    <phoneticPr fontId="3" type="noConversion"/>
  </si>
  <si>
    <t>개취롤</t>
    <phoneticPr fontId="3" type="noConversion"/>
  </si>
  <si>
    <t>소요량</t>
    <phoneticPr fontId="3" type="noConversion"/>
  </si>
  <si>
    <t>슬리팅폭</t>
    <phoneticPr fontId="3" type="noConversion"/>
  </si>
  <si>
    <t>원폭</t>
    <phoneticPr fontId="3" type="noConversion"/>
  </si>
  <si>
    <t xml:space="preserve">       - 슬리팅 폭별 LOSS율 현황 예시</t>
    <phoneticPr fontId="3" type="noConversion"/>
  </si>
  <si>
    <t>◀ 전산상 잔여재고로 표시 되어짐</t>
    <phoneticPr fontId="3" type="noConversion"/>
  </si>
  <si>
    <t>0119-1484-1050</t>
    <phoneticPr fontId="3" type="noConversion"/>
  </si>
  <si>
    <t>SF-252N</t>
  </si>
  <si>
    <t>작업화면 -1 기타출고화면(기존 기타출고로 처리 진행)</t>
    <phoneticPr fontId="3" type="noConversion"/>
  </si>
  <si>
    <t>길이</t>
    <phoneticPr fontId="3" type="noConversion"/>
  </si>
  <si>
    <t>자재폭</t>
    <phoneticPr fontId="3" type="noConversion"/>
  </si>
  <si>
    <t>코드</t>
    <phoneticPr fontId="3" type="noConversion"/>
  </si>
  <si>
    <t>품목</t>
    <phoneticPr fontId="3" type="noConversion"/>
  </si>
  <si>
    <t>댐퍼설정 후 오더에 출고(슬리팅관련)</t>
    <phoneticPr fontId="3" type="noConversion"/>
  </si>
  <si>
    <t>(LOSS)</t>
    <phoneticPr fontId="3" type="noConversion"/>
  </si>
  <si>
    <t>합계</t>
    <phoneticPr fontId="3" type="noConversion"/>
  </si>
  <si>
    <t>. 오 처리시 재고 문제 발생 소지 있음</t>
    <phoneticPr fontId="3" type="noConversion"/>
  </si>
  <si>
    <t>PO.5</t>
  </si>
  <si>
    <t>. Loss에 대한 현업 작업방식에 대해 확인 필요</t>
    <phoneticPr fontId="3" type="noConversion"/>
  </si>
  <si>
    <t>PO.4</t>
  </si>
  <si>
    <t>. 슬리팅 PO시마다 결정이 필요</t>
    <phoneticPr fontId="3" type="noConversion"/>
  </si>
  <si>
    <t>PO 등록시 LOSS 처리 여부 결정</t>
    <phoneticPr fontId="3" type="noConversion"/>
  </si>
  <si>
    <t>PO.3</t>
  </si>
  <si>
    <t>. 분권 진행시 일부 LOSS가 과하게 포함 될 소지 있음</t>
    <phoneticPr fontId="3" type="noConversion"/>
  </si>
  <si>
    <t>PO.2</t>
    <phoneticPr fontId="3" type="noConversion"/>
  </si>
  <si>
    <t>. 실제 LOSS에 대해서는 별도 계산이 필요함</t>
    <phoneticPr fontId="3" type="noConversion"/>
  </si>
  <si>
    <t>PO.1</t>
    <phoneticPr fontId="3" type="noConversion"/>
  </si>
  <si>
    <t>. 현행 처리방법으로 추가 LOSS처리는 불필요</t>
    <phoneticPr fontId="3" type="noConversion"/>
  </si>
  <si>
    <t>BOM 산정시 LOSS분 포함하여 소요량 기입</t>
    <phoneticPr fontId="3" type="noConversion"/>
  </si>
  <si>
    <t>투입길이</t>
    <phoneticPr fontId="3" type="noConversion"/>
  </si>
  <si>
    <t>롤수</t>
    <phoneticPr fontId="3" type="noConversion"/>
  </si>
  <si>
    <t>원소요량</t>
    <phoneticPr fontId="3" type="noConversion"/>
  </si>
  <si>
    <t>폭</t>
    <phoneticPr fontId="3" type="noConversion"/>
  </si>
  <si>
    <t>PO</t>
    <phoneticPr fontId="3" type="noConversion"/>
  </si>
  <si>
    <t>길이(M)</t>
    <phoneticPr fontId="3" type="noConversion"/>
  </si>
  <si>
    <t>폭(MM)</t>
    <phoneticPr fontId="3" type="noConversion"/>
  </si>
  <si>
    <t>. 대량처리로 인한 속도 저하</t>
    <phoneticPr fontId="3" type="noConversion"/>
  </si>
  <si>
    <t>CR</t>
    <phoneticPr fontId="3" type="noConversion"/>
  </si>
  <si>
    <t>MR</t>
    <phoneticPr fontId="3" type="noConversion"/>
  </si>
  <si>
    <t>. 오 처리시 재고 문제 발생 될 소지 있음</t>
    <phoneticPr fontId="3" type="noConversion"/>
  </si>
  <si>
    <t xml:space="preserve">       - 다중 슬리팅 이후 발생 LOSS - 해당재고에 대한 처리 방법 설정 필요</t>
    <phoneticPr fontId="3" type="noConversion"/>
  </si>
  <si>
    <t>. 잔여수량에 대해 사용 가능여부를 파악 할 수 있어야함</t>
    <phoneticPr fontId="3" type="noConversion"/>
  </si>
  <si>
    <t>일정 기간 기준 수립하여 일괄 처리
(ERP 별도 프로그램을 확인)
(제품, 자재 모두 해당)</t>
    <phoneticPr fontId="3" type="noConversion"/>
  </si>
  <si>
    <t xml:space="preserve">       - 기준체계 입력 재 설정 필요</t>
    <phoneticPr fontId="3" type="noConversion"/>
  </si>
  <si>
    <t>내용</t>
    <phoneticPr fontId="3" type="noConversion"/>
  </si>
  <si>
    <t>방법</t>
    <phoneticPr fontId="3" type="noConversion"/>
  </si>
  <si>
    <t>NO.</t>
    <phoneticPr fontId="3" type="noConversion"/>
  </si>
  <si>
    <t xml:space="preserve">       - 1MR 다중 CR 등록 진행 등을 위해서는 원 소요량만큼 입력 진행 필요</t>
    <phoneticPr fontId="3" type="noConversion"/>
  </si>
  <si>
    <t xml:space="preserve">       - 처리방법 예상 - 결정 예정</t>
    <phoneticPr fontId="3" type="noConversion"/>
  </si>
  <si>
    <t xml:space="preserve">       - 현재는 LOSS포함 CR기준별 소요수량을 기입하여 관리 진행</t>
    <phoneticPr fontId="3" type="noConversion"/>
  </si>
  <si>
    <t xml:space="preserve">    3) 슬리팅 소요량 관련 잔여 LOSS에 대한 처리 여부 확인 필요</t>
    <phoneticPr fontId="3" type="noConversion"/>
  </si>
  <si>
    <t xml:space="preserve">    -&gt;  ② 으로 진행시 BOM과 별개로 슬리팅 오더 생성시 계산작업 진행 필요</t>
    <phoneticPr fontId="3" type="noConversion"/>
  </si>
  <si>
    <t xml:space="preserve">    -&gt;  ① 으로 진행시 자재CODE 대량 생성 및 BOM등록이 필수적 발생</t>
    <phoneticPr fontId="3" type="noConversion"/>
  </si>
  <si>
    <t xml:space="preserve">  ② 디스플레이 재고 외 별도 규격 표기(슬리팅 작업 및 재고 조회에서 별도 표기 방법 확인 필요)</t>
    <phoneticPr fontId="3" type="noConversion"/>
  </si>
  <si>
    <t xml:space="preserve">  ① 오더등록 및 자재 출고간에서 품목간 재고 이동 처리되는 방법</t>
    <phoneticPr fontId="3" type="noConversion"/>
  </si>
  <si>
    <t xml:space="preserve"> ※ 예상 처리 방법</t>
    <phoneticPr fontId="3" type="noConversion"/>
  </si>
  <si>
    <t>원단의 폭길이에 맞춰 조정이 되어져야 함</t>
    <phoneticPr fontId="3" type="noConversion"/>
  </si>
  <si>
    <t>상기와 같이 슬리팅 항목에 대한 내용 오더 입력시 분할되는 내용 확인 및 신규 코드 생성 및 재고 이동이 필요함</t>
    <phoneticPr fontId="3" type="noConversion"/>
  </si>
  <si>
    <t>금주 - 건바이건으로 내용 전달</t>
    <phoneticPr fontId="3" type="noConversion"/>
  </si>
  <si>
    <t>생성되는 화면의 유형(신규 / 수정) , 개수 필요</t>
    <phoneticPr fontId="3" type="noConversion"/>
  </si>
  <si>
    <r>
      <t>0119-1484-</t>
    </r>
    <r>
      <rPr>
        <b/>
        <sz val="11"/>
        <color rgb="FFFF0000"/>
        <rFont val="맑은 고딕"/>
        <family val="3"/>
        <charset val="129"/>
        <scheme val="minor"/>
      </rPr>
      <t>1480</t>
    </r>
    <phoneticPr fontId="3" type="noConversion"/>
  </si>
  <si>
    <t>화면 그리드 제공필요 - 상세 설명 필요</t>
    <phoneticPr fontId="3" type="noConversion"/>
  </si>
  <si>
    <t>2. 계산화면</t>
    <phoneticPr fontId="3" type="noConversion"/>
  </si>
  <si>
    <t>0119-1484-1480</t>
  </si>
  <si>
    <t>자재 lot</t>
    <phoneticPr fontId="3" type="noConversion"/>
  </si>
  <si>
    <t>잔량길이</t>
    <phoneticPr fontId="3" type="noConversion"/>
  </si>
  <si>
    <t>잔량폭</t>
    <phoneticPr fontId="3" type="noConversion"/>
  </si>
  <si>
    <t>오더투입품목</t>
    <phoneticPr fontId="3" type="noConversion"/>
  </si>
  <si>
    <t>0119-1484-0148H</t>
    <phoneticPr fontId="3" type="noConversion"/>
  </si>
  <si>
    <t>0119-1484-0164H</t>
    <phoneticPr fontId="3" type="noConversion"/>
  </si>
  <si>
    <t>길이합계(E)</t>
    <phoneticPr fontId="3" type="noConversion"/>
  </si>
  <si>
    <t>슬리팅길이(D)</t>
    <phoneticPr fontId="3" type="noConversion"/>
  </si>
  <si>
    <t>슬리팅폭(A*B=C)</t>
    <phoneticPr fontId="3" type="noConversion"/>
  </si>
  <si>
    <t>슬리팅수(B)</t>
    <phoneticPr fontId="3" type="noConversion"/>
  </si>
  <si>
    <t>슬리팅코드(A)</t>
    <phoneticPr fontId="3" type="noConversion"/>
  </si>
  <si>
    <t>사용자입력위치</t>
    <phoneticPr fontId="3" type="noConversion"/>
  </si>
  <si>
    <t>1.오더요청품목 - 상황2</t>
    <phoneticPr fontId="3" type="noConversion"/>
  </si>
  <si>
    <t>0119-1484-0676</t>
    <phoneticPr fontId="3" type="noConversion"/>
  </si>
  <si>
    <t>작업화면 -3 자사 기 사용중이였던 POP 슬리팅PO등록 화면</t>
    <phoneticPr fontId="3" type="noConversion"/>
  </si>
  <si>
    <t>1.오더요청품목 - 상황1</t>
    <phoneticPr fontId="3" type="noConversion"/>
  </si>
  <si>
    <t>1. 오더화면</t>
    <phoneticPr fontId="3" type="noConversion"/>
  </si>
  <si>
    <t>예상화면 -4  신규 요청화면</t>
    <phoneticPr fontId="3" type="noConversion"/>
  </si>
  <si>
    <t xml:space="preserve">        - 예시 (다음 내용 중 코드 변환 내용 참조 요청</t>
    <phoneticPr fontId="3" type="noConversion"/>
  </si>
  <si>
    <t xml:space="preserve">          (실제 폭은 500㎜ 이나, 전산폭은 1,000㎜ 일때 CR 폭별 나올 수있는 개취수가 달라 문제 소지 있음)</t>
    <phoneticPr fontId="3" type="noConversion"/>
  </si>
  <si>
    <t>기존작업화면 -2 PO 부품출고</t>
    <phoneticPr fontId="3" type="noConversion"/>
  </si>
  <si>
    <t xml:space="preserve">        - 해당 경우도 SQM 단위로 보면 문제가 없으나, 재고 현황 확인 시에는 문제(오해)의 소지가 있음 - 오 투입등이 이루어 질 수있음</t>
    <phoneticPr fontId="3" type="noConversion"/>
  </si>
  <si>
    <t xml:space="preserve">        - 슬리팅 분권진행시 본사와 다르게 폭 분권도 이루어져 기존 입고 MR폭 대비 변경 되는 경우 있음</t>
    <phoneticPr fontId="3" type="noConversion"/>
  </si>
  <si>
    <t xml:space="preserve">    2) 슬리팅 전폭 중 일부 만 슬리팅 진행하고 일부 폭을 슬리팅 작업을 안 하는 경우</t>
    <phoneticPr fontId="3" type="noConversion"/>
  </si>
  <si>
    <t>MR기준 등록으로 각 PO에 투입 할 수 있도록 변경</t>
    <phoneticPr fontId="3" type="noConversion"/>
  </si>
  <si>
    <t>각 PO별 건, 건 투입 진행</t>
    <phoneticPr fontId="3" type="noConversion"/>
  </si>
  <si>
    <t>자재투입</t>
    <phoneticPr fontId="3" type="noConversion"/>
  </si>
  <si>
    <t>MR기준으로 PO등록 기준으로 변경 필요</t>
    <phoneticPr fontId="3" type="noConversion"/>
  </si>
  <si>
    <t>제품기준으로 건, 건 PO 등록진행</t>
    <phoneticPr fontId="3" type="noConversion"/>
  </si>
  <si>
    <t>PO등록</t>
    <phoneticPr fontId="3" type="noConversion"/>
  </si>
  <si>
    <t>PO 등록시 1MR
다중 CR폭 PO등록진행</t>
    <phoneticPr fontId="3" type="noConversion"/>
  </si>
  <si>
    <t>변경필요</t>
    <phoneticPr fontId="3" type="noConversion"/>
  </si>
  <si>
    <t>현재</t>
    <phoneticPr fontId="3" type="noConversion"/>
  </si>
  <si>
    <t>구분내용</t>
    <phoneticPr fontId="3" type="noConversion"/>
  </si>
  <si>
    <t>상황</t>
    <phoneticPr fontId="3" type="noConversion"/>
  </si>
  <si>
    <t xml:space="preserve">        - Lot 오 입력으로 인한 재고 문제 생길 수 있음</t>
    <phoneticPr fontId="3" type="noConversion"/>
  </si>
  <si>
    <t xml:space="preserve">        - 소요량개념으로 볼때 SQM 기준으로는 문제가 없으나, 남은 잔량에 대해서 별도 처리해 줘야 문제가 해결되는 상황</t>
    <phoneticPr fontId="3" type="noConversion"/>
  </si>
  <si>
    <t xml:space="preserve">        - PO자체를 다중으로 등록 해야되는 문제</t>
    <phoneticPr fontId="3" type="noConversion"/>
  </si>
  <si>
    <t>기존작업화면 -1 PO등록</t>
    <phoneticPr fontId="3" type="noConversion"/>
  </si>
  <si>
    <t xml:space="preserve">    1) 슬리팅 PO 등록시 1MR 다중 CR의 PO등록 경우</t>
    <phoneticPr fontId="3" type="noConversion"/>
  </si>
  <si>
    <t xml:space="preserve">  1. 자재 슬리팅실적 문제사항 (ERP / 신규 구축화면 필요)</t>
    <phoneticPr fontId="3" type="noConversion"/>
  </si>
  <si>
    <t>■ 슬리팅 관련 화면 (ERP반영)</t>
    <phoneticPr fontId="3" type="noConversion"/>
  </si>
  <si>
    <t>NO</t>
    <phoneticPr fontId="3" type="noConversion"/>
  </si>
  <si>
    <t>자재명</t>
    <phoneticPr fontId="3" type="noConversion"/>
  </si>
  <si>
    <t>창고</t>
    <phoneticPr fontId="3" type="noConversion"/>
  </si>
  <si>
    <t>창고명</t>
    <phoneticPr fontId="3" type="noConversion"/>
  </si>
  <si>
    <t>Lot No.</t>
    <phoneticPr fontId="3" type="noConversion"/>
  </si>
  <si>
    <t>Lot 
sub no</t>
    <phoneticPr fontId="3" type="noConversion"/>
  </si>
  <si>
    <t>단위</t>
    <phoneticPr fontId="3" type="noConversion"/>
  </si>
  <si>
    <t>자재폭(㎜)</t>
    <phoneticPr fontId="3" type="noConversion"/>
  </si>
  <si>
    <t>수량</t>
    <phoneticPr fontId="3" type="noConversion"/>
  </si>
  <si>
    <t>업체</t>
    <phoneticPr fontId="3" type="noConversion"/>
  </si>
  <si>
    <t>거래처명</t>
    <phoneticPr fontId="3" type="noConversion"/>
  </si>
  <si>
    <t>0101-0927-1100</t>
    <phoneticPr fontId="3" type="noConversion"/>
  </si>
  <si>
    <t>RF02ASD</t>
    <phoneticPr fontId="3" type="noConversion"/>
  </si>
  <si>
    <t>S30</t>
    <phoneticPr fontId="3" type="noConversion"/>
  </si>
  <si>
    <t>NGUYEN V?T LI?U</t>
  </si>
  <si>
    <t>20230524-2</t>
  </si>
  <si>
    <t>MT</t>
    <phoneticPr fontId="3" type="noConversion"/>
  </si>
  <si>
    <t>A00072</t>
  </si>
  <si>
    <t>SE GYUNG HI TECH CO.,LTD</t>
    <phoneticPr fontId="3" type="noConversion"/>
  </si>
  <si>
    <t>77777777-15</t>
  </si>
  <si>
    <t>77777777-3</t>
  </si>
  <si>
    <t>A03</t>
  </si>
  <si>
    <t>A34BK03</t>
  </si>
  <si>
    <t>AAAA12</t>
  </si>
  <si>
    <t>FFF-5</t>
  </si>
  <si>
    <t>GGG-12</t>
  </si>
  <si>
    <t>GGG-14</t>
  </si>
  <si>
    <t>GGG-14</t>
    <phoneticPr fontId="3" type="noConversion"/>
  </si>
  <si>
    <t>오더정보</t>
    <phoneticPr fontId="3" type="noConversion"/>
  </si>
  <si>
    <t>자재정보</t>
    <phoneticPr fontId="3" type="noConversion"/>
  </si>
  <si>
    <t>작업구분</t>
    <phoneticPr fontId="3" type="noConversion"/>
  </si>
  <si>
    <t>발주ROLL</t>
    <phoneticPr fontId="3" type="noConversion"/>
  </si>
  <si>
    <t>필요수량</t>
    <phoneticPr fontId="3" type="noConversion"/>
  </si>
  <si>
    <t>합계수량</t>
    <phoneticPr fontId="3" type="noConversion"/>
  </si>
  <si>
    <t>PO NO</t>
    <phoneticPr fontId="3" type="noConversion"/>
  </si>
  <si>
    <t>투입코드</t>
    <phoneticPr fontId="3" type="noConversion"/>
  </si>
  <si>
    <t>투입자재</t>
    <phoneticPr fontId="3" type="noConversion"/>
  </si>
  <si>
    <t>투입LOT</t>
    <phoneticPr fontId="3" type="noConversion"/>
  </si>
  <si>
    <t>1작업</t>
    <phoneticPr fontId="3" type="noConversion"/>
  </si>
  <si>
    <t>0101-0927-0170H</t>
  </si>
  <si>
    <t>RF02ASD</t>
  </si>
  <si>
    <t>0101-0927-1100</t>
  </si>
  <si>
    <t>0101-0927-0180H</t>
    <phoneticPr fontId="3" type="noConversion"/>
  </si>
  <si>
    <t>투입폭</t>
    <phoneticPr fontId="3" type="noConversion"/>
  </si>
  <si>
    <t>잔여폭</t>
    <phoneticPr fontId="3" type="noConversion"/>
  </si>
  <si>
    <t>입고가능길이</t>
    <phoneticPr fontId="3" type="noConversion"/>
  </si>
  <si>
    <t>발주길이</t>
    <phoneticPr fontId="3" type="noConversion"/>
  </si>
  <si>
    <t>잔여길이</t>
    <phoneticPr fontId="3" type="noConversion"/>
  </si>
  <si>
    <t>예상길이</t>
    <phoneticPr fontId="3" type="noConversion"/>
  </si>
  <si>
    <t>2작업</t>
    <phoneticPr fontId="3" type="noConversion"/>
  </si>
  <si>
    <t>0101-0927-0200H</t>
    <phoneticPr fontId="3" type="noConversion"/>
  </si>
  <si>
    <t>■ LOSS처리여부(잔여폭자재)</t>
    <phoneticPr fontId="3" type="noConversion"/>
  </si>
  <si>
    <t>LOSS처리여부</t>
    <phoneticPr fontId="3" type="noConversion"/>
  </si>
  <si>
    <t>신규생성여부</t>
    <phoneticPr fontId="3" type="noConversion"/>
  </si>
  <si>
    <t>저장여부</t>
    <phoneticPr fontId="3" type="noConversion"/>
  </si>
  <si>
    <t>1롤</t>
    <phoneticPr fontId="3" type="noConversion"/>
  </si>
  <si>
    <t>비고</t>
    <phoneticPr fontId="3" type="noConversion"/>
  </si>
  <si>
    <t>1. 조회 조건 관련</t>
    <phoneticPr fontId="3" type="noConversion"/>
  </si>
  <si>
    <t>2. 오더 정보</t>
    <phoneticPr fontId="3" type="noConversion"/>
  </si>
  <si>
    <t xml:space="preserve"> 1). 자재그룹 , 자재명 조회시에는 "LIKE" 기능 추가 오청</t>
    <phoneticPr fontId="3" type="noConversion"/>
  </si>
  <si>
    <t xml:space="preserve">  1) 1작업, 2작업으로 구분하여 슬리팅 분권단위 나눔or 계산될 수있는 여지 확인</t>
    <phoneticPr fontId="3" type="noConversion"/>
  </si>
  <si>
    <r>
      <t xml:space="preserve">  → EX) 자재명에 "</t>
    </r>
    <r>
      <rPr>
        <b/>
        <sz val="11"/>
        <color theme="1"/>
        <rFont val="맑은 고딕"/>
        <family val="3"/>
        <charset val="129"/>
        <scheme val="minor"/>
      </rPr>
      <t xml:space="preserve">S100" </t>
    </r>
    <r>
      <rPr>
        <sz val="11"/>
        <color theme="1"/>
        <rFont val="맑은 고딕"/>
        <family val="3"/>
        <charset val="129"/>
        <scheme val="minor"/>
      </rPr>
      <t>만 입력시에 JY-S100(7), JY-S100(9), S100(7) 등의 자재가 같이 조회 될 수있도록</t>
    </r>
    <phoneticPr fontId="3" type="noConversion"/>
  </si>
  <si>
    <t xml:space="preserve">  2) PO NO. 조회 및 저장, 승인, 취소 작업 수반</t>
    <phoneticPr fontId="3" type="noConversion"/>
  </si>
  <si>
    <t xml:space="preserve"> 2). 조회 조건은 자재그룹, 자재명, 자재 LOT, 창고 등으로 조회 될 수 있도록한다</t>
    <phoneticPr fontId="3" type="noConversion"/>
  </si>
  <si>
    <t xml:space="preserve">  3) 각 "행추가" 기능을 통한 작업 품목 증량</t>
    <phoneticPr fontId="3" type="noConversion"/>
  </si>
  <si>
    <t xml:space="preserve"> 3). 조회되는 내역은 위 입력 조건에 맞는 현재 양품재고가 0보다 큰값으로 조회 된다(0값제외, 당연 -값은 없는 것으로 간주)</t>
    <phoneticPr fontId="3" type="noConversion"/>
  </si>
  <si>
    <t xml:space="preserve">  4)                저장시 PO NO.자동 생성  → 승인 클릭시 MES 송부</t>
    <phoneticPr fontId="3" type="noConversion"/>
  </si>
  <si>
    <t xml:space="preserve">   → 자재 폭은 자재코드의 값으로 계산한다(앞 장 참고)</t>
    <phoneticPr fontId="3" type="noConversion"/>
  </si>
  <si>
    <t xml:space="preserve">  5) 취소 기능을 통한 오더 회수 및 오더 마감 처리(MES처리 불가토록) - 단 MES생성 기록을 통한 예약 이력있으면 취소불가 처리</t>
    <phoneticPr fontId="3" type="noConversion"/>
  </si>
  <si>
    <t xml:space="preserve"> 4). 조회내역 중 입고업체가 없을 시 공란으로 표기해도 됨(예외 입고 내역 등)</t>
    <phoneticPr fontId="3" type="noConversion"/>
  </si>
  <si>
    <t>3. 자재정보</t>
    <phoneticPr fontId="3" type="noConversion"/>
  </si>
  <si>
    <t xml:space="preserve">  1) 조회조건에서 선택된(더블클릭 등) 자재의 내역이 반영</t>
    <phoneticPr fontId="3" type="noConversion"/>
  </si>
  <si>
    <t xml:space="preserve">  2) 오더정보를 통해 정보가 입력시 각 내용 반영</t>
    <phoneticPr fontId="3" type="noConversion"/>
  </si>
  <si>
    <t xml:space="preserve">  3) 작업 분권에 따른 예상 수량 및 loss 및 잔여롤 계산</t>
    <phoneticPr fontId="3" type="noConversion"/>
  </si>
  <si>
    <t>계산애 관해서는 별도 설명</t>
    <phoneticPr fontId="3" type="noConversion"/>
  </si>
  <si>
    <t>4. LOSS  및 신규 생성여부</t>
    <phoneticPr fontId="3" type="noConversion"/>
  </si>
  <si>
    <t xml:space="preserve">  1) 분권별 폭50㎜ 이하는 LOSS에 자동체크 그외 선택 체크하여 loss처리</t>
    <phoneticPr fontId="3" type="noConversion"/>
  </si>
  <si>
    <t xml:space="preserve">  2) 신규 생성여부는 해당 폭 코드 유무에 따라 자동체크 진행(loss선택되는 경우 체크 해제)</t>
    <phoneticPr fontId="3" type="noConversion"/>
  </si>
  <si>
    <t xml:space="preserve">  4) 해당부분 저장체크하여 업무 진행되도록 요청</t>
    <phoneticPr fontId="3" type="noConversion"/>
  </si>
  <si>
    <t>5,. 업무순서</t>
    <phoneticPr fontId="3" type="noConversion"/>
  </si>
  <si>
    <t xml:space="preserve"> 슬리팅 자재 검색 -&gt; 슬리팅 자재 선택 -&gt; 분권별 오더 내용 입력 -&gt; 자재정보 자동 계산 -&gt; </t>
    <phoneticPr fontId="3" type="noConversion"/>
  </si>
  <si>
    <t xml:space="preserve">  loss처리여부 선택 -&gt; loss처리부분 저장 -&gt; 오더 정보 저장 -&gt; 오더정보 승인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</si>
</sst>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;[Red]\-#,##0\ "/>
    <numFmt numFmtId="177" formatCode="0.000000"/>
    <numFmt numFmtId="178" formatCode="0.0000"/>
    <numFmt numFmtId="179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u/>
      <sz val="16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51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theme="0" tint="-0.14996795556505021"/>
      </top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22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5" fillId="0" borderId="1" xfId="1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7" fillId="3" borderId="0" xfId="0" applyFont="1" applyFill="1">
      <alignment vertical="center"/>
    </xf>
    <xf numFmtId="0" fontId="2" fillId="0" borderId="0" xfId="0" applyFont="1">
      <alignment vertical="center"/>
    </xf>
    <xf numFmtId="177" fontId="0" fillId="0" borderId="1" xfId="0" applyNumberForma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10" fillId="4" borderId="5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8" fontId="5" fillId="5" borderId="9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1" fillId="0" borderId="12" xfId="0" applyFont="1" applyBorder="1">
      <alignment vertical="center"/>
    </xf>
    <xf numFmtId="0" fontId="11" fillId="0" borderId="13" xfId="0" applyFont="1" applyBorder="1">
      <alignment vertical="center"/>
    </xf>
    <xf numFmtId="0" fontId="11" fillId="0" borderId="14" xfId="0" applyFont="1" applyBorder="1" applyAlignment="1">
      <alignment vertical="top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1" fillId="0" borderId="17" xfId="0" applyFont="1" applyBorder="1">
      <alignment vertical="center"/>
    </xf>
    <xf numFmtId="0" fontId="11" fillId="0" borderId="0" xfId="0" applyFont="1">
      <alignment vertical="center"/>
    </xf>
    <xf numFmtId="0" fontId="11" fillId="0" borderId="18" xfId="0" applyFont="1" applyBorder="1" applyAlignment="1">
      <alignment vertical="top"/>
    </xf>
    <xf numFmtId="0" fontId="11" fillId="0" borderId="19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21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Alignment="1">
      <alignment vertical="top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1" fillId="3" borderId="16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1" fillId="0" borderId="22" xfId="0" applyFont="1" applyBorder="1" applyAlignment="1">
      <alignment vertical="top"/>
    </xf>
    <xf numFmtId="0" fontId="11" fillId="0" borderId="25" xfId="0" applyFont="1" applyBorder="1" applyAlignment="1">
      <alignment vertical="top"/>
    </xf>
    <xf numFmtId="0" fontId="8" fillId="6" borderId="9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vertical="top"/>
    </xf>
    <xf numFmtId="0" fontId="11" fillId="3" borderId="27" xfId="0" applyFont="1" applyFill="1" applyBorder="1" applyAlignment="1">
      <alignment vertical="top"/>
    </xf>
    <xf numFmtId="0" fontId="5" fillId="3" borderId="16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vertical="top"/>
    </xf>
    <xf numFmtId="0" fontId="11" fillId="3" borderId="0" xfId="0" applyFont="1" applyFill="1" applyAlignment="1">
      <alignment vertical="top"/>
    </xf>
    <xf numFmtId="0" fontId="11" fillId="3" borderId="22" xfId="0" applyFont="1" applyFill="1" applyBorder="1" applyAlignment="1">
      <alignment vertical="top"/>
    </xf>
    <xf numFmtId="0" fontId="11" fillId="3" borderId="25" xfId="0" applyFont="1" applyFill="1" applyBorder="1" applyAlignment="1">
      <alignment vertical="top"/>
    </xf>
    <xf numFmtId="0" fontId="11" fillId="3" borderId="1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4" borderId="33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3" borderId="35" xfId="0" applyFont="1" applyFill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7" borderId="38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11" fillId="8" borderId="44" xfId="0" applyFont="1" applyFill="1" applyBorder="1" applyAlignment="1">
      <alignment horizontal="center" vertical="center"/>
    </xf>
    <xf numFmtId="0" fontId="11" fillId="8" borderId="45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/>
    </xf>
    <xf numFmtId="0" fontId="11" fillId="8" borderId="47" xfId="0" applyFont="1" applyFill="1" applyBorder="1" applyAlignment="1">
      <alignment horizontal="center" vertical="center"/>
    </xf>
    <xf numFmtId="0" fontId="11" fillId="8" borderId="44" xfId="0" applyFont="1" applyFill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" fontId="16" fillId="0" borderId="44" xfId="0" applyNumberFormat="1" applyFont="1" applyBorder="1" applyAlignment="1">
      <alignment horizontal="center" vertical="center"/>
    </xf>
    <xf numFmtId="177" fontId="16" fillId="0" borderId="44" xfId="0" applyNumberFormat="1" applyFont="1" applyBorder="1">
      <alignment vertical="center"/>
    </xf>
    <xf numFmtId="177" fontId="16" fillId="0" borderId="44" xfId="0" applyNumberFormat="1" applyFont="1" applyBorder="1" applyAlignment="1">
      <alignment horizontal="center" vertical="center"/>
    </xf>
    <xf numFmtId="177" fontId="16" fillId="0" borderId="45" xfId="0" applyNumberFormat="1" applyFont="1" applyBorder="1">
      <alignment vertical="center"/>
    </xf>
    <xf numFmtId="177" fontId="16" fillId="0" borderId="46" xfId="0" applyNumberFormat="1" applyFont="1" applyBorder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39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77" fontId="16" fillId="0" borderId="39" xfId="0" applyNumberFormat="1" applyFont="1" applyBorder="1">
      <alignment vertical="center"/>
    </xf>
    <xf numFmtId="177" fontId="16" fillId="0" borderId="39" xfId="0" applyNumberFormat="1" applyFont="1" applyBorder="1" applyAlignment="1">
      <alignment horizontal="center" vertical="center"/>
    </xf>
    <xf numFmtId="0" fontId="5" fillId="9" borderId="45" xfId="0" applyFont="1" applyFill="1" applyBorder="1">
      <alignment vertical="center"/>
    </xf>
    <xf numFmtId="0" fontId="0" fillId="9" borderId="47" xfId="0" applyFill="1" applyBorder="1">
      <alignment vertical="center"/>
    </xf>
    <xf numFmtId="0" fontId="0" fillId="9" borderId="47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5" fillId="10" borderId="45" xfId="0" applyFont="1" applyFill="1" applyBorder="1">
      <alignment vertical="center"/>
    </xf>
    <xf numFmtId="0" fontId="0" fillId="10" borderId="47" xfId="0" applyFill="1" applyBorder="1">
      <alignment vertical="center"/>
    </xf>
    <xf numFmtId="0" fontId="0" fillId="10" borderId="46" xfId="0" applyFill="1" applyBorder="1">
      <alignment vertical="center"/>
    </xf>
    <xf numFmtId="0" fontId="11" fillId="8" borderId="48" xfId="0" applyFont="1" applyFill="1" applyBorder="1" applyAlignment="1">
      <alignment horizontal="center" vertical="center"/>
    </xf>
    <xf numFmtId="0" fontId="11" fillId="8" borderId="43" xfId="0" applyFont="1" applyFill="1" applyBorder="1" applyAlignment="1">
      <alignment horizontal="center" vertical="center"/>
    </xf>
    <xf numFmtId="0" fontId="11" fillId="8" borderId="49" xfId="0" applyFont="1" applyFill="1" applyBorder="1" applyAlignment="1">
      <alignment horizontal="center" vertical="center"/>
    </xf>
    <xf numFmtId="0" fontId="11" fillId="8" borderId="49" xfId="0" applyFont="1" applyFill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178" fontId="16" fillId="0" borderId="44" xfId="0" applyNumberFormat="1" applyFont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179" fontId="0" fillId="0" borderId="44" xfId="0" applyNumberFormat="1" applyBorder="1" applyAlignment="1">
      <alignment horizontal="center" vertical="center"/>
    </xf>
    <xf numFmtId="0" fontId="5" fillId="8" borderId="44" xfId="0" applyFont="1" applyFill="1" applyBorder="1" applyAlignment="1">
      <alignment horizontal="left" vertical="center"/>
    </xf>
    <xf numFmtId="0" fontId="0" fillId="0" borderId="44" xfId="0" applyBorder="1">
      <alignment vertical="center"/>
    </xf>
    <xf numFmtId="1" fontId="0" fillId="0" borderId="44" xfId="0" applyNumberFormat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1.png"/><Relationship Id="rId4" Type="http://schemas.openxmlformats.org/officeDocument/2006/relationships/image" Target="../media/image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99</xdr:row>
      <xdr:rowOff>28575</xdr:rowOff>
    </xdr:from>
    <xdr:ext cx="13926221" cy="1649514"/>
    <xdr:pic>
      <xdr:nvPicPr>
        <xdr:cNvPr id="2" name="그림 1">
          <a:extLst>
            <a:ext uri="{FF2B5EF4-FFF2-40B4-BE49-F238E27FC236}">
              <a16:creationId xmlns:a16="http://schemas.microsoft.com/office/drawing/2014/main" id="{316CD321-2C37-4119-B310-EDAC7A861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20774025"/>
          <a:ext cx="13926221" cy="1649514"/>
        </a:xfrm>
        <a:prstGeom prst="rect">
          <a:avLst/>
        </a:prstGeom>
      </xdr:spPr>
    </xdr:pic>
    <xdr:clientData/>
  </xdr:oneCellAnchor>
  <xdr:twoCellAnchor>
    <xdr:from>
      <xdr:col>2</xdr:col>
      <xdr:colOff>482692</xdr:colOff>
      <xdr:row>30</xdr:row>
      <xdr:rowOff>244346</xdr:rowOff>
    </xdr:from>
    <xdr:to>
      <xdr:col>4</xdr:col>
      <xdr:colOff>31719</xdr:colOff>
      <xdr:row>31</xdr:row>
      <xdr:rowOff>183228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F82F02E-272B-43BB-A1A4-EC3CE1D022BD}"/>
            </a:ext>
          </a:extLst>
        </xdr:cNvPr>
        <xdr:cNvSpPr/>
      </xdr:nvSpPr>
      <xdr:spPr>
        <a:xfrm>
          <a:off x="1854292" y="6492746"/>
          <a:ext cx="920627" cy="18653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ln>
                <a:noFill/>
              </a:ln>
            </a:rPr>
            <a:t>슬리팅이전</a:t>
          </a:r>
        </a:p>
      </xdr:txBody>
    </xdr:sp>
    <xdr:clientData/>
  </xdr:twoCellAnchor>
  <xdr:twoCellAnchor>
    <xdr:from>
      <xdr:col>6</xdr:col>
      <xdr:colOff>22413</xdr:colOff>
      <xdr:row>73</xdr:row>
      <xdr:rowOff>123265</xdr:rowOff>
    </xdr:from>
    <xdr:to>
      <xdr:col>8</xdr:col>
      <xdr:colOff>22412</xdr:colOff>
      <xdr:row>75</xdr:row>
      <xdr:rowOff>112058</xdr:rowOff>
    </xdr:to>
    <xdr:cxnSp macro="">
      <xdr:nvCxnSpPr>
        <xdr:cNvPr id="4" name="꺾인 연결선 22">
          <a:extLst>
            <a:ext uri="{FF2B5EF4-FFF2-40B4-BE49-F238E27FC236}">
              <a16:creationId xmlns:a16="http://schemas.microsoft.com/office/drawing/2014/main" id="{9CFDFCF4-54CF-40F6-AA32-AF6636AB6596}"/>
            </a:ext>
          </a:extLst>
        </xdr:cNvPr>
        <xdr:cNvCxnSpPr/>
      </xdr:nvCxnSpPr>
      <xdr:spPr>
        <a:xfrm rot="10800000" flipV="1">
          <a:off x="4137213" y="15420415"/>
          <a:ext cx="1371599" cy="407893"/>
        </a:xfrm>
        <a:prstGeom prst="bent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35302</xdr:colOff>
      <xdr:row>3</xdr:row>
      <xdr:rowOff>57151</xdr:rowOff>
    </xdr:from>
    <xdr:ext cx="8726682" cy="1784166"/>
    <xdr:pic>
      <xdr:nvPicPr>
        <xdr:cNvPr id="5" name="그림 4">
          <a:extLst>
            <a:ext uri="{FF2B5EF4-FFF2-40B4-BE49-F238E27FC236}">
              <a16:creationId xmlns:a16="http://schemas.microsoft.com/office/drawing/2014/main" id="{A2B7DADC-067F-4C96-A70A-1039C099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2302" y="685801"/>
          <a:ext cx="8726682" cy="1784166"/>
        </a:xfrm>
        <a:prstGeom prst="rect">
          <a:avLst/>
        </a:prstGeom>
      </xdr:spPr>
    </xdr:pic>
    <xdr:clientData/>
  </xdr:oneCellAnchor>
  <xdr:oneCellAnchor>
    <xdr:from>
      <xdr:col>14</xdr:col>
      <xdr:colOff>780802</xdr:colOff>
      <xdr:row>13</xdr:row>
      <xdr:rowOff>27332</xdr:rowOff>
    </xdr:from>
    <xdr:ext cx="8723320" cy="1784166"/>
    <xdr:pic>
      <xdr:nvPicPr>
        <xdr:cNvPr id="6" name="그림 5">
          <a:extLst>
            <a:ext uri="{FF2B5EF4-FFF2-40B4-BE49-F238E27FC236}">
              <a16:creationId xmlns:a16="http://schemas.microsoft.com/office/drawing/2014/main" id="{F41DECB5-6EFD-4243-9AC3-806BFC698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6752" y="2751482"/>
          <a:ext cx="8723320" cy="1784166"/>
        </a:xfrm>
        <a:prstGeom prst="rect">
          <a:avLst/>
        </a:prstGeom>
      </xdr:spPr>
    </xdr:pic>
    <xdr:clientData/>
  </xdr:oneCellAnchor>
  <xdr:oneCellAnchor>
    <xdr:from>
      <xdr:col>11</xdr:col>
      <xdr:colOff>47625</xdr:colOff>
      <xdr:row>76</xdr:row>
      <xdr:rowOff>38100</xdr:rowOff>
    </xdr:from>
    <xdr:ext cx="4558748" cy="2507545"/>
    <xdr:pic>
      <xdr:nvPicPr>
        <xdr:cNvPr id="7" name="그림 6">
          <a:extLst>
            <a:ext uri="{FF2B5EF4-FFF2-40B4-BE49-F238E27FC236}">
              <a16:creationId xmlns:a16="http://schemas.microsoft.com/office/drawing/2014/main" id="{BFA23F00-3935-429D-8FE6-19CF1074E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91425" y="15963900"/>
          <a:ext cx="4558748" cy="2507545"/>
        </a:xfrm>
        <a:prstGeom prst="rect">
          <a:avLst/>
        </a:prstGeom>
      </xdr:spPr>
    </xdr:pic>
    <xdr:clientData/>
  </xdr:oneCellAnchor>
  <xdr:twoCellAnchor>
    <xdr:from>
      <xdr:col>0</xdr:col>
      <xdr:colOff>38100</xdr:colOff>
      <xdr:row>16</xdr:row>
      <xdr:rowOff>0</xdr:rowOff>
    </xdr:from>
    <xdr:to>
      <xdr:col>14</xdr:col>
      <xdr:colOff>19050</xdr:colOff>
      <xdr:row>52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C7FB02E-E04E-4A53-93E5-855137E03A50}"/>
            </a:ext>
          </a:extLst>
        </xdr:cNvPr>
        <xdr:cNvSpPr/>
      </xdr:nvSpPr>
      <xdr:spPr>
        <a:xfrm>
          <a:off x="38100" y="3352800"/>
          <a:ext cx="9582150" cy="7639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79114</xdr:colOff>
      <xdr:row>28</xdr:row>
      <xdr:rowOff>10510</xdr:rowOff>
    </xdr:from>
    <xdr:to>
      <xdr:col>11</xdr:col>
      <xdr:colOff>222719</xdr:colOff>
      <xdr:row>31</xdr:row>
      <xdr:rowOff>1493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26783B5C-2FA1-41A3-BA6C-868F9F19D628}"/>
            </a:ext>
          </a:extLst>
        </xdr:cNvPr>
        <xdr:cNvGrpSpPr/>
      </xdr:nvGrpSpPr>
      <xdr:grpSpPr>
        <a:xfrm>
          <a:off x="155314" y="6601810"/>
          <a:ext cx="8297005" cy="733933"/>
          <a:chOff x="71742" y="6999322"/>
          <a:chExt cx="8293692" cy="736634"/>
        </a:xfrm>
      </xdr:grpSpPr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C039EEC9-1177-667B-E2D2-528B5DF51199}"/>
              </a:ext>
            </a:extLst>
          </xdr:cNvPr>
          <xdr:cNvGrpSpPr/>
        </xdr:nvGrpSpPr>
        <xdr:grpSpPr>
          <a:xfrm>
            <a:off x="71742" y="7112140"/>
            <a:ext cx="3334550" cy="562732"/>
            <a:chOff x="71742" y="7112140"/>
            <a:chExt cx="3334550" cy="562732"/>
          </a:xfrm>
        </xdr:grpSpPr>
        <xdr:sp macro="" textlink="">
          <xdr:nvSpPr>
            <xdr:cNvPr id="29" name="원통 1">
              <a:extLst>
                <a:ext uri="{FF2B5EF4-FFF2-40B4-BE49-F238E27FC236}">
                  <a16:creationId xmlns:a16="http://schemas.microsoft.com/office/drawing/2014/main" id="{185D5637-B844-BDB6-536C-5EBF3D740B40}"/>
                </a:ext>
              </a:extLst>
            </xdr:cNvPr>
            <xdr:cNvSpPr/>
          </xdr:nvSpPr>
          <xdr:spPr>
            <a:xfrm rot="5400000">
              <a:off x="1457651" y="5726231"/>
              <a:ext cx="562732" cy="3334550"/>
            </a:xfrm>
            <a:prstGeom prst="can">
              <a:avLst>
                <a:gd name="adj" fmla="val 66379"/>
              </a:avLst>
            </a:prstGeom>
            <a:ln>
              <a:noFill/>
            </a:ln>
          </xdr:spPr>
          <xdr:style>
            <a:lnRef idx="2">
              <a:schemeClr val="accent5">
                <a:shade val="50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" name="직선 화살표 연결선 29">
              <a:extLst>
                <a:ext uri="{FF2B5EF4-FFF2-40B4-BE49-F238E27FC236}">
                  <a16:creationId xmlns:a16="http://schemas.microsoft.com/office/drawing/2014/main" id="{DFCA1926-BFDC-2DE3-9339-57EAA5C8A82A}"/>
                </a:ext>
              </a:extLst>
            </xdr:cNvPr>
            <xdr:cNvCxnSpPr>
              <a:stCxn id="29" idx="3"/>
              <a:endCxn id="29" idx="1"/>
            </xdr:cNvCxnSpPr>
          </xdr:nvCxnSpPr>
          <xdr:spPr>
            <a:xfrm>
              <a:off x="71742" y="7393508"/>
              <a:ext cx="3334550" cy="0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31" name="직사각형 30">
              <a:extLst>
                <a:ext uri="{FF2B5EF4-FFF2-40B4-BE49-F238E27FC236}">
                  <a16:creationId xmlns:a16="http://schemas.microsoft.com/office/drawing/2014/main" id="{40A22F87-A4A4-6897-0377-A81B3A56FD3C}"/>
                </a:ext>
              </a:extLst>
            </xdr:cNvPr>
            <xdr:cNvSpPr/>
          </xdr:nvSpPr>
          <xdr:spPr>
            <a:xfrm>
              <a:off x="1169276" y="7139321"/>
              <a:ext cx="1000482" cy="18736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400" b="1">
                  <a:ln>
                    <a:noFill/>
                  </a:ln>
                </a:rPr>
                <a:t>MR1480</a:t>
              </a:r>
              <a:r>
                <a:rPr lang="ko-KR" altLang="en-US" sz="1400" b="1">
                  <a:ln>
                    <a:noFill/>
                  </a:ln>
                </a:rPr>
                <a:t>㎜</a:t>
              </a:r>
              <a:endParaRPr lang="ko-KR" altLang="en-US" sz="1600" b="1">
                <a:ln>
                  <a:noFill/>
                </a:ln>
              </a:endParaRPr>
            </a:p>
          </xdr:txBody>
        </xdr:sp>
      </xdr:grpSp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A9510873-3457-227D-3DCC-22C97EE4DBC5}"/>
              </a:ext>
            </a:extLst>
          </xdr:cNvPr>
          <xdr:cNvGrpSpPr/>
        </xdr:nvGrpSpPr>
        <xdr:grpSpPr>
          <a:xfrm>
            <a:off x="4343656" y="7125432"/>
            <a:ext cx="2655149" cy="589257"/>
            <a:chOff x="489387" y="4255382"/>
            <a:chExt cx="2669213" cy="595807"/>
          </a:xfrm>
        </xdr:grpSpPr>
        <xdr:grpSp>
          <xdr:nvGrpSpPr>
            <xdr:cNvPr id="22" name="그룹 21">
              <a:extLst>
                <a:ext uri="{FF2B5EF4-FFF2-40B4-BE49-F238E27FC236}">
                  <a16:creationId xmlns:a16="http://schemas.microsoft.com/office/drawing/2014/main" id="{FD7EAC10-0E5D-E18D-7E3D-9EB02D03121F}"/>
                </a:ext>
              </a:extLst>
            </xdr:cNvPr>
            <xdr:cNvGrpSpPr/>
          </xdr:nvGrpSpPr>
          <xdr:grpSpPr>
            <a:xfrm>
              <a:off x="489387" y="4279686"/>
              <a:ext cx="1467037" cy="571503"/>
              <a:chOff x="443404" y="4299393"/>
              <a:chExt cx="1467037" cy="571503"/>
            </a:xfrm>
          </xdr:grpSpPr>
          <xdr:sp macro="" textlink="">
            <xdr:nvSpPr>
              <xdr:cNvPr id="24" name="원통 8">
                <a:extLst>
                  <a:ext uri="{FF2B5EF4-FFF2-40B4-BE49-F238E27FC236}">
                    <a16:creationId xmlns:a16="http://schemas.microsoft.com/office/drawing/2014/main" id="{245BF09C-8805-10FE-A825-8564C2671590}"/>
                  </a:ext>
                </a:extLst>
              </xdr:cNvPr>
              <xdr:cNvSpPr/>
            </xdr:nvSpPr>
            <xdr:spPr>
              <a:xfrm rot="5400000">
                <a:off x="402348" y="4340449"/>
                <a:ext cx="57150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5" name="원통 9">
                <a:extLst>
                  <a:ext uri="{FF2B5EF4-FFF2-40B4-BE49-F238E27FC236}">
                    <a16:creationId xmlns:a16="http://schemas.microsoft.com/office/drawing/2014/main" id="{D6286C20-55A7-7C20-C872-9D9CAFAFF44E}"/>
                  </a:ext>
                </a:extLst>
              </xdr:cNvPr>
              <xdr:cNvSpPr/>
            </xdr:nvSpPr>
            <xdr:spPr>
              <a:xfrm rot="5400000">
                <a:off x="730796" y="4340450"/>
                <a:ext cx="57150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6" name="원통 10">
                <a:extLst>
                  <a:ext uri="{FF2B5EF4-FFF2-40B4-BE49-F238E27FC236}">
                    <a16:creationId xmlns:a16="http://schemas.microsoft.com/office/drawing/2014/main" id="{1C389FD8-050A-46EC-E4F0-4751ED4C0893}"/>
                  </a:ext>
                </a:extLst>
              </xdr:cNvPr>
              <xdr:cNvSpPr/>
            </xdr:nvSpPr>
            <xdr:spPr>
              <a:xfrm rot="5400000">
                <a:off x="1063593" y="4340452"/>
                <a:ext cx="57150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7" name="원통 30">
                <a:extLst>
                  <a:ext uri="{FF2B5EF4-FFF2-40B4-BE49-F238E27FC236}">
                    <a16:creationId xmlns:a16="http://schemas.microsoft.com/office/drawing/2014/main" id="{8C7002FD-F8D8-4549-167C-FF33B471CFAB}"/>
                  </a:ext>
                </a:extLst>
              </xdr:cNvPr>
              <xdr:cNvSpPr/>
            </xdr:nvSpPr>
            <xdr:spPr>
              <a:xfrm rot="5400000">
                <a:off x="1379997" y="4340452"/>
                <a:ext cx="57150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8" name="직선 화살표 연결선 27">
                <a:extLst>
                  <a:ext uri="{FF2B5EF4-FFF2-40B4-BE49-F238E27FC236}">
                    <a16:creationId xmlns:a16="http://schemas.microsoft.com/office/drawing/2014/main" id="{E0080731-C906-96B4-1CF3-6D1592C8354B}"/>
                  </a:ext>
                </a:extLst>
              </xdr:cNvPr>
              <xdr:cNvCxnSpPr>
                <a:stCxn id="24" idx="3"/>
                <a:endCxn id="27" idx="1"/>
              </xdr:cNvCxnSpPr>
            </xdr:nvCxnSpPr>
            <xdr:spPr>
              <a:xfrm>
                <a:off x="443405" y="4585143"/>
                <a:ext cx="1467036" cy="3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3" name="직사각형 22">
              <a:extLst>
                <a:ext uri="{FF2B5EF4-FFF2-40B4-BE49-F238E27FC236}">
                  <a16:creationId xmlns:a16="http://schemas.microsoft.com/office/drawing/2014/main" id="{63C46641-3B24-1F75-D349-68E24B07F6B3}"/>
                </a:ext>
              </a:extLst>
            </xdr:cNvPr>
            <xdr:cNvSpPr/>
          </xdr:nvSpPr>
          <xdr:spPr>
            <a:xfrm>
              <a:off x="519106" y="4255382"/>
              <a:ext cx="2639494" cy="23207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600" b="1">
                  <a:ln>
                    <a:noFill/>
                  </a:ln>
                </a:rPr>
                <a:t>656</a:t>
              </a:r>
              <a:r>
                <a:rPr lang="ko-KR" altLang="en-US" sz="1600">
                  <a:ln>
                    <a:noFill/>
                  </a:ln>
                </a:rPr>
                <a:t>㎜</a:t>
              </a:r>
            </a:p>
          </xdr:txBody>
        </xdr:sp>
      </xdr:grpSp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B08965A6-6AB3-FF0D-1542-4BC641167D24}"/>
              </a:ext>
            </a:extLst>
          </xdr:cNvPr>
          <xdr:cNvGrpSpPr/>
        </xdr:nvGrpSpPr>
        <xdr:grpSpPr>
          <a:xfrm>
            <a:off x="6153925" y="6999327"/>
            <a:ext cx="546705" cy="736629"/>
            <a:chOff x="-6419341" y="4114816"/>
            <a:chExt cx="3096140" cy="744818"/>
          </a:xfrm>
        </xdr:grpSpPr>
        <xdr:grpSp>
          <xdr:nvGrpSpPr>
            <xdr:cNvPr id="18" name="그룹 17">
              <a:extLst>
                <a:ext uri="{FF2B5EF4-FFF2-40B4-BE49-F238E27FC236}">
                  <a16:creationId xmlns:a16="http://schemas.microsoft.com/office/drawing/2014/main" id="{C4247FA3-6248-9A15-7CEC-B7177D4BD131}"/>
                </a:ext>
              </a:extLst>
            </xdr:cNvPr>
            <xdr:cNvGrpSpPr/>
          </xdr:nvGrpSpPr>
          <xdr:grpSpPr>
            <a:xfrm>
              <a:off x="-5843012" y="4229439"/>
              <a:ext cx="2006820" cy="571500"/>
              <a:chOff x="-5888995" y="4249146"/>
              <a:chExt cx="2006820" cy="571500"/>
            </a:xfrm>
          </xdr:grpSpPr>
          <xdr:sp macro="" textlink="">
            <xdr:nvSpPr>
              <xdr:cNvPr id="20" name="원통 17">
                <a:extLst>
                  <a:ext uri="{FF2B5EF4-FFF2-40B4-BE49-F238E27FC236}">
                    <a16:creationId xmlns:a16="http://schemas.microsoft.com/office/drawing/2014/main" id="{67F25F17-88D1-FD8A-2FB1-F508B06F9334}"/>
                  </a:ext>
                </a:extLst>
              </xdr:cNvPr>
              <xdr:cNvSpPr/>
            </xdr:nvSpPr>
            <xdr:spPr>
              <a:xfrm rot="5400000">
                <a:off x="-5171335" y="3531486"/>
                <a:ext cx="571500" cy="2006820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1" name="직선 화살표 연결선 20">
                <a:extLst>
                  <a:ext uri="{FF2B5EF4-FFF2-40B4-BE49-F238E27FC236}">
                    <a16:creationId xmlns:a16="http://schemas.microsoft.com/office/drawing/2014/main" id="{E47639A7-1DD0-3708-71EF-CFC6C3E15DCA}"/>
                  </a:ext>
                </a:extLst>
              </xdr:cNvPr>
              <xdr:cNvCxnSpPr>
                <a:stCxn id="20" idx="3"/>
                <a:endCxn id="20" idx="1"/>
              </xdr:cNvCxnSpPr>
            </xdr:nvCxnSpPr>
            <xdr:spPr>
              <a:xfrm>
                <a:off x="-5888995" y="4534897"/>
                <a:ext cx="2006820" cy="0"/>
              </a:xfrm>
              <a:prstGeom prst="straightConnector1">
                <a:avLst/>
              </a:prstGeom>
              <a:ln>
                <a:noFill/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9" name="직사각형 18">
              <a:extLst>
                <a:ext uri="{FF2B5EF4-FFF2-40B4-BE49-F238E27FC236}">
                  <a16:creationId xmlns:a16="http://schemas.microsoft.com/office/drawing/2014/main" id="{10D98A10-B1CB-A00F-53D0-C7092B33EA30}"/>
                </a:ext>
              </a:extLst>
            </xdr:cNvPr>
            <xdr:cNvSpPr/>
          </xdr:nvSpPr>
          <xdr:spPr>
            <a:xfrm>
              <a:off x="-6419341" y="4114816"/>
              <a:ext cx="3096140" cy="74481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ko-KR" sz="1050" b="1">
                  <a:ln>
                    <a:noFill/>
                  </a:ln>
                </a:rPr>
                <a:t>148</a:t>
              </a:r>
              <a:r>
                <a:rPr lang="ko-KR" altLang="en-US" sz="1100">
                  <a:ln>
                    <a:noFill/>
                  </a:ln>
                </a:rPr>
                <a:t>㎜</a:t>
              </a:r>
            </a:p>
          </xdr:txBody>
        </xdr:sp>
      </xdr:grpSp>
      <xdr:grpSp>
        <xdr:nvGrpSpPr>
          <xdr:cNvPr id="13" name="그룹 12">
            <a:extLst>
              <a:ext uri="{FF2B5EF4-FFF2-40B4-BE49-F238E27FC236}">
                <a16:creationId xmlns:a16="http://schemas.microsoft.com/office/drawing/2014/main" id="{084BD76E-97DB-092F-A985-F9A2393FAD6F}"/>
              </a:ext>
            </a:extLst>
          </xdr:cNvPr>
          <xdr:cNvGrpSpPr/>
        </xdr:nvGrpSpPr>
        <xdr:grpSpPr>
          <a:xfrm>
            <a:off x="6590156" y="6999322"/>
            <a:ext cx="1775278" cy="668527"/>
            <a:chOff x="-6763245" y="4114816"/>
            <a:chExt cx="10053886" cy="675960"/>
          </a:xfrm>
        </xdr:grpSpPr>
        <xdr:grpSp>
          <xdr:nvGrpSpPr>
            <xdr:cNvPr id="14" name="그룹 13">
              <a:extLst>
                <a:ext uri="{FF2B5EF4-FFF2-40B4-BE49-F238E27FC236}">
                  <a16:creationId xmlns:a16="http://schemas.microsoft.com/office/drawing/2014/main" id="{084576B4-1B64-A55B-71DB-84B53E9182AE}"/>
                </a:ext>
              </a:extLst>
            </xdr:cNvPr>
            <xdr:cNvGrpSpPr/>
          </xdr:nvGrpSpPr>
          <xdr:grpSpPr>
            <a:xfrm>
              <a:off x="-6763245" y="4219276"/>
              <a:ext cx="9376260" cy="571500"/>
              <a:chOff x="-6809228" y="4238983"/>
              <a:chExt cx="9376260" cy="571500"/>
            </a:xfrm>
          </xdr:grpSpPr>
          <xdr:sp macro="" textlink="">
            <xdr:nvSpPr>
              <xdr:cNvPr id="16" name="원통 40">
                <a:extLst>
                  <a:ext uri="{FF2B5EF4-FFF2-40B4-BE49-F238E27FC236}">
                    <a16:creationId xmlns:a16="http://schemas.microsoft.com/office/drawing/2014/main" id="{64D05C9B-A241-BA8C-C71E-49698FEA7A58}"/>
                  </a:ext>
                </a:extLst>
              </xdr:cNvPr>
              <xdr:cNvSpPr/>
            </xdr:nvSpPr>
            <xdr:spPr>
              <a:xfrm rot="5400000">
                <a:off x="-2723238" y="152993"/>
                <a:ext cx="571500" cy="8743480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17" name="직선 화살표 연결선 16">
                <a:extLst>
                  <a:ext uri="{FF2B5EF4-FFF2-40B4-BE49-F238E27FC236}">
                    <a16:creationId xmlns:a16="http://schemas.microsoft.com/office/drawing/2014/main" id="{CA400D0D-F224-B77D-4AEA-167FC29DC243}"/>
                  </a:ext>
                </a:extLst>
              </xdr:cNvPr>
              <xdr:cNvCxnSpPr/>
            </xdr:nvCxnSpPr>
            <xdr:spPr>
              <a:xfrm>
                <a:off x="-6176442" y="4438761"/>
                <a:ext cx="8743474" cy="0"/>
              </a:xfrm>
              <a:prstGeom prst="straightConnector1">
                <a:avLst/>
              </a:prstGeom>
              <a:ln>
                <a:noFill/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5" name="직사각형 14">
              <a:extLst>
                <a:ext uri="{FF2B5EF4-FFF2-40B4-BE49-F238E27FC236}">
                  <a16:creationId xmlns:a16="http://schemas.microsoft.com/office/drawing/2014/main" id="{E345DBD6-772B-CE4C-BCA6-E187DA7386D4}"/>
                </a:ext>
              </a:extLst>
            </xdr:cNvPr>
            <xdr:cNvSpPr/>
          </xdr:nvSpPr>
          <xdr:spPr>
            <a:xfrm>
              <a:off x="194501" y="4114816"/>
              <a:ext cx="3096140" cy="62757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ko-KR" sz="1050" b="1">
                  <a:ln>
                    <a:noFill/>
                  </a:ln>
                </a:rPr>
                <a:t>676</a:t>
              </a:r>
              <a:r>
                <a:rPr lang="ko-KR" altLang="en-US" sz="1100" b="1">
                  <a:ln>
                    <a:noFill/>
                  </a:ln>
                </a:rPr>
                <a:t>㎜</a:t>
              </a:r>
              <a:endParaRPr lang="en-US" altLang="ko-KR" sz="1100" b="1">
                <a:ln>
                  <a:noFill/>
                </a:ln>
              </a:endParaRPr>
            </a:p>
            <a:p>
              <a:pPr algn="l"/>
              <a:r>
                <a:rPr lang="ko-KR" altLang="en-US" sz="1100" b="1">
                  <a:ln>
                    <a:noFill/>
                  </a:ln>
                </a:rPr>
                <a:t>잔량</a:t>
              </a:r>
              <a:endParaRPr lang="en-US" altLang="ko-KR" sz="1100" b="1">
                <a:ln>
                  <a:noFill/>
                </a:ln>
              </a:endParaRPr>
            </a:p>
          </xdr:txBody>
        </xdr:sp>
      </xdr:grpSp>
    </xdr:grpSp>
    <xdr:clientData/>
  </xdr:twoCellAnchor>
  <xdr:oneCellAnchor>
    <xdr:from>
      <xdr:col>14</xdr:col>
      <xdr:colOff>658170</xdr:colOff>
      <xdr:row>22</xdr:row>
      <xdr:rowOff>22296</xdr:rowOff>
    </xdr:from>
    <xdr:ext cx="7728203" cy="4631879"/>
    <xdr:pic>
      <xdr:nvPicPr>
        <xdr:cNvPr id="32" name="그림 31">
          <a:extLst>
            <a:ext uri="{FF2B5EF4-FFF2-40B4-BE49-F238E27FC236}">
              <a16:creationId xmlns:a16="http://schemas.microsoft.com/office/drawing/2014/main" id="{6DF4C02D-FA48-47ED-A052-CED948ABB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59370" y="4632396"/>
          <a:ext cx="7728203" cy="4631879"/>
        </a:xfrm>
        <a:prstGeom prst="rect">
          <a:avLst/>
        </a:prstGeom>
      </xdr:spPr>
    </xdr:pic>
    <xdr:clientData/>
  </xdr:oneCellAnchor>
  <xdr:twoCellAnchor>
    <xdr:from>
      <xdr:col>4</xdr:col>
      <xdr:colOff>535782</xdr:colOff>
      <xdr:row>24</xdr:row>
      <xdr:rowOff>180975</xdr:rowOff>
    </xdr:from>
    <xdr:to>
      <xdr:col>5</xdr:col>
      <xdr:colOff>553641</xdr:colOff>
      <xdr:row>25</xdr:row>
      <xdr:rowOff>232171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388930F-F1DE-49CB-9D13-CA8AB720B36B}"/>
            </a:ext>
          </a:extLst>
        </xdr:cNvPr>
        <xdr:cNvSpPr txBox="1"/>
      </xdr:nvSpPr>
      <xdr:spPr>
        <a:xfrm>
          <a:off x="3278982" y="5210175"/>
          <a:ext cx="703659" cy="241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슬리팅 이전</a:t>
          </a:r>
        </a:p>
      </xdr:txBody>
    </xdr:sp>
    <xdr:clientData/>
  </xdr:twoCellAnchor>
  <xdr:twoCellAnchor>
    <xdr:from>
      <xdr:col>7</xdr:col>
      <xdr:colOff>71437</xdr:colOff>
      <xdr:row>24</xdr:row>
      <xdr:rowOff>238124</xdr:rowOff>
    </xdr:from>
    <xdr:to>
      <xdr:col>9</xdr:col>
      <xdr:colOff>646043</xdr:colOff>
      <xdr:row>25</xdr:row>
      <xdr:rowOff>247649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40352A6-39DD-4BEE-9C53-DCC8E951DFC0}"/>
            </a:ext>
          </a:extLst>
        </xdr:cNvPr>
        <xdr:cNvSpPr txBox="1"/>
      </xdr:nvSpPr>
      <xdr:spPr>
        <a:xfrm>
          <a:off x="4872037" y="5238749"/>
          <a:ext cx="1946206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이후코드 변환하여 관리</a:t>
          </a:r>
          <a:endParaRPr lang="en-US" altLang="ko-KR" sz="1100"/>
        </a:p>
      </xdr:txBody>
    </xdr:sp>
    <xdr:clientData/>
  </xdr:twoCellAnchor>
  <xdr:twoCellAnchor>
    <xdr:from>
      <xdr:col>6</xdr:col>
      <xdr:colOff>190504</xdr:colOff>
      <xdr:row>25</xdr:row>
      <xdr:rowOff>119062</xdr:rowOff>
    </xdr:from>
    <xdr:to>
      <xdr:col>6</xdr:col>
      <xdr:colOff>636988</xdr:colOff>
      <xdr:row>28</xdr:row>
      <xdr:rowOff>0</xdr:rowOff>
    </xdr:to>
    <xdr:sp macro="" textlink="">
      <xdr:nvSpPr>
        <xdr:cNvPr id="35" name="아래쪽 화살표 84">
          <a:extLst>
            <a:ext uri="{FF2B5EF4-FFF2-40B4-BE49-F238E27FC236}">
              <a16:creationId xmlns:a16="http://schemas.microsoft.com/office/drawing/2014/main" id="{C24AA101-0D87-48F0-B8E8-BB1199261355}"/>
            </a:ext>
          </a:extLst>
        </xdr:cNvPr>
        <xdr:cNvSpPr/>
      </xdr:nvSpPr>
      <xdr:spPr>
        <a:xfrm rot="16200000">
          <a:off x="4273752" y="5389364"/>
          <a:ext cx="509588" cy="44648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0</xdr:colOff>
      <xdr:row>31</xdr:row>
      <xdr:rowOff>0</xdr:rowOff>
    </xdr:from>
    <xdr:to>
      <xdr:col>8</xdr:col>
      <xdr:colOff>920226</xdr:colOff>
      <xdr:row>31</xdr:row>
      <xdr:rowOff>187361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E0590E78-438D-4B46-B1E5-2657672EB596}"/>
            </a:ext>
          </a:extLst>
        </xdr:cNvPr>
        <xdr:cNvSpPr/>
      </xdr:nvSpPr>
      <xdr:spPr>
        <a:xfrm>
          <a:off x="5486400" y="6496050"/>
          <a:ext cx="682101" cy="187361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ln>
                <a:noFill/>
              </a:ln>
            </a:rPr>
            <a:t>슬리팅이후</a:t>
          </a:r>
        </a:p>
      </xdr:txBody>
    </xdr:sp>
    <xdr:clientData/>
  </xdr:twoCellAnchor>
  <xdr:twoCellAnchor>
    <xdr:from>
      <xdr:col>1</xdr:col>
      <xdr:colOff>77686</xdr:colOff>
      <xdr:row>44</xdr:row>
      <xdr:rowOff>31416</xdr:rowOff>
    </xdr:from>
    <xdr:to>
      <xdr:col>11</xdr:col>
      <xdr:colOff>334448</xdr:colOff>
      <xdr:row>48</xdr:row>
      <xdr:rowOff>14853</xdr:rowOff>
    </xdr:to>
    <xdr:grpSp>
      <xdr:nvGrpSpPr>
        <xdr:cNvPr id="37" name="그룹 36">
          <a:extLst>
            <a:ext uri="{FF2B5EF4-FFF2-40B4-BE49-F238E27FC236}">
              <a16:creationId xmlns:a16="http://schemas.microsoft.com/office/drawing/2014/main" id="{63171C10-AC3E-4F68-BF2F-1387FD0985F2}"/>
            </a:ext>
          </a:extLst>
        </xdr:cNvPr>
        <xdr:cNvGrpSpPr/>
      </xdr:nvGrpSpPr>
      <xdr:grpSpPr>
        <a:xfrm>
          <a:off x="153886" y="10127916"/>
          <a:ext cx="8410162" cy="821637"/>
          <a:chOff x="71742" y="6932543"/>
          <a:chExt cx="8406849" cy="811696"/>
        </a:xfrm>
      </xdr:grpSpPr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06EFF66E-A979-7CB8-3CBB-2B07B45AEF30}"/>
              </a:ext>
            </a:extLst>
          </xdr:cNvPr>
          <xdr:cNvGrpSpPr/>
        </xdr:nvGrpSpPr>
        <xdr:grpSpPr>
          <a:xfrm>
            <a:off x="71742" y="7112140"/>
            <a:ext cx="3334550" cy="562732"/>
            <a:chOff x="71742" y="7112140"/>
            <a:chExt cx="3334550" cy="562732"/>
          </a:xfrm>
        </xdr:grpSpPr>
        <xdr:sp macro="" textlink="">
          <xdr:nvSpPr>
            <xdr:cNvPr id="61" name="원통 109">
              <a:extLst>
                <a:ext uri="{FF2B5EF4-FFF2-40B4-BE49-F238E27FC236}">
                  <a16:creationId xmlns:a16="http://schemas.microsoft.com/office/drawing/2014/main" id="{F3BC3545-155F-7ACE-4FF8-C51798A3F9BA}"/>
                </a:ext>
              </a:extLst>
            </xdr:cNvPr>
            <xdr:cNvSpPr/>
          </xdr:nvSpPr>
          <xdr:spPr>
            <a:xfrm rot="5400000">
              <a:off x="1457651" y="5726231"/>
              <a:ext cx="562732" cy="3334550"/>
            </a:xfrm>
            <a:prstGeom prst="can">
              <a:avLst>
                <a:gd name="adj" fmla="val 66379"/>
              </a:avLst>
            </a:prstGeom>
            <a:ln>
              <a:noFill/>
            </a:ln>
          </xdr:spPr>
          <xdr:style>
            <a:lnRef idx="2">
              <a:schemeClr val="accent5">
                <a:shade val="50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2" name="직선 화살표 연결선 61">
              <a:extLst>
                <a:ext uri="{FF2B5EF4-FFF2-40B4-BE49-F238E27FC236}">
                  <a16:creationId xmlns:a16="http://schemas.microsoft.com/office/drawing/2014/main" id="{3E8C8302-8B02-61B4-F94F-F755D7273A88}"/>
                </a:ext>
              </a:extLst>
            </xdr:cNvPr>
            <xdr:cNvCxnSpPr>
              <a:stCxn id="61" idx="3"/>
              <a:endCxn id="61" idx="1"/>
            </xdr:cNvCxnSpPr>
          </xdr:nvCxnSpPr>
          <xdr:spPr>
            <a:xfrm>
              <a:off x="71742" y="7393508"/>
              <a:ext cx="3334550" cy="0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6419B9E0-7DED-C127-AB3D-6DC760024AC2}"/>
                </a:ext>
              </a:extLst>
            </xdr:cNvPr>
            <xdr:cNvSpPr/>
          </xdr:nvSpPr>
          <xdr:spPr>
            <a:xfrm>
              <a:off x="1169276" y="7139321"/>
              <a:ext cx="1000482" cy="18736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400" b="1">
                  <a:ln>
                    <a:noFill/>
                  </a:ln>
                </a:rPr>
                <a:t>MR1480</a:t>
              </a:r>
              <a:r>
                <a:rPr lang="ko-KR" altLang="en-US" sz="1400" b="1">
                  <a:ln>
                    <a:noFill/>
                  </a:ln>
                </a:rPr>
                <a:t>㎜</a:t>
              </a:r>
              <a:endParaRPr lang="ko-KR" altLang="en-US" sz="1600" b="1">
                <a:ln>
                  <a:noFill/>
                </a:ln>
              </a:endParaRPr>
            </a:p>
          </xdr:txBody>
        </xdr:sp>
      </xdr:grpSp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DD7E2C86-EA0D-5903-F8B0-56BE7FB541F1}"/>
              </a:ext>
            </a:extLst>
          </xdr:cNvPr>
          <xdr:cNvGrpSpPr/>
        </xdr:nvGrpSpPr>
        <xdr:grpSpPr>
          <a:xfrm>
            <a:off x="4343656" y="7125432"/>
            <a:ext cx="2718263" cy="589257"/>
            <a:chOff x="489387" y="4255382"/>
            <a:chExt cx="2732661" cy="595807"/>
          </a:xfrm>
        </xdr:grpSpPr>
        <xdr:grpSp>
          <xdr:nvGrpSpPr>
            <xdr:cNvPr id="50" name="그룹 49">
              <a:extLst>
                <a:ext uri="{FF2B5EF4-FFF2-40B4-BE49-F238E27FC236}">
                  <a16:creationId xmlns:a16="http://schemas.microsoft.com/office/drawing/2014/main" id="{5E3BCCB6-9486-44A6-9EFE-0C7F284D256E}"/>
                </a:ext>
              </a:extLst>
            </xdr:cNvPr>
            <xdr:cNvGrpSpPr/>
          </xdr:nvGrpSpPr>
          <xdr:grpSpPr>
            <a:xfrm>
              <a:off x="489387" y="4279686"/>
              <a:ext cx="2732661" cy="571503"/>
              <a:chOff x="443404" y="4299393"/>
              <a:chExt cx="2732661" cy="571503"/>
            </a:xfrm>
          </xdr:grpSpPr>
          <xdr:sp macro="" textlink="">
            <xdr:nvSpPr>
              <xdr:cNvPr id="52" name="원통 104">
                <a:extLst>
                  <a:ext uri="{FF2B5EF4-FFF2-40B4-BE49-F238E27FC236}">
                    <a16:creationId xmlns:a16="http://schemas.microsoft.com/office/drawing/2014/main" id="{4A96D65F-37E9-E73D-E88D-9A3A39585ED3}"/>
                  </a:ext>
                </a:extLst>
              </xdr:cNvPr>
              <xdr:cNvSpPr/>
            </xdr:nvSpPr>
            <xdr:spPr>
              <a:xfrm rot="5400000">
                <a:off x="402348" y="4340449"/>
                <a:ext cx="57150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3" name="원통 105">
                <a:extLst>
                  <a:ext uri="{FF2B5EF4-FFF2-40B4-BE49-F238E27FC236}">
                    <a16:creationId xmlns:a16="http://schemas.microsoft.com/office/drawing/2014/main" id="{503762BF-396F-550D-B461-A0C862CB95D0}"/>
                  </a:ext>
                </a:extLst>
              </xdr:cNvPr>
              <xdr:cNvSpPr/>
            </xdr:nvSpPr>
            <xdr:spPr>
              <a:xfrm rot="5400000">
                <a:off x="730796" y="4340450"/>
                <a:ext cx="57150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4" name="원통 106">
                <a:extLst>
                  <a:ext uri="{FF2B5EF4-FFF2-40B4-BE49-F238E27FC236}">
                    <a16:creationId xmlns:a16="http://schemas.microsoft.com/office/drawing/2014/main" id="{1F62600E-567A-4CF3-D084-206801EDB1AF}"/>
                  </a:ext>
                </a:extLst>
              </xdr:cNvPr>
              <xdr:cNvSpPr/>
            </xdr:nvSpPr>
            <xdr:spPr>
              <a:xfrm rot="5400000">
                <a:off x="1063593" y="4340452"/>
                <a:ext cx="57150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5" name="원통 107">
                <a:extLst>
                  <a:ext uri="{FF2B5EF4-FFF2-40B4-BE49-F238E27FC236}">
                    <a16:creationId xmlns:a16="http://schemas.microsoft.com/office/drawing/2014/main" id="{F58F7CBF-865C-F4A1-5F8D-D6D12E1BF9CC}"/>
                  </a:ext>
                </a:extLst>
              </xdr:cNvPr>
              <xdr:cNvSpPr/>
            </xdr:nvSpPr>
            <xdr:spPr>
              <a:xfrm rot="5400000">
                <a:off x="1379997" y="4340452"/>
                <a:ext cx="57150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6" name="원통 119">
                <a:extLst>
                  <a:ext uri="{FF2B5EF4-FFF2-40B4-BE49-F238E27FC236}">
                    <a16:creationId xmlns:a16="http://schemas.microsoft.com/office/drawing/2014/main" id="{22DD139C-AADF-839D-07EE-6B2EB472B5FB}"/>
                  </a:ext>
                </a:extLst>
              </xdr:cNvPr>
              <xdr:cNvSpPr/>
            </xdr:nvSpPr>
            <xdr:spPr>
              <a:xfrm rot="5400000">
                <a:off x="1713057" y="4340452"/>
                <a:ext cx="57150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7" name="원통 120">
                <a:extLst>
                  <a:ext uri="{FF2B5EF4-FFF2-40B4-BE49-F238E27FC236}">
                    <a16:creationId xmlns:a16="http://schemas.microsoft.com/office/drawing/2014/main" id="{DC0A9295-CFBA-0F30-8F7C-EA54242D9486}"/>
                  </a:ext>
                </a:extLst>
              </xdr:cNvPr>
              <xdr:cNvSpPr/>
            </xdr:nvSpPr>
            <xdr:spPr>
              <a:xfrm rot="5400000">
                <a:off x="2049784" y="4340452"/>
                <a:ext cx="54751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8" name="원통 121">
                <a:extLst>
                  <a:ext uri="{FF2B5EF4-FFF2-40B4-BE49-F238E27FC236}">
                    <a16:creationId xmlns:a16="http://schemas.microsoft.com/office/drawing/2014/main" id="{0D8443A3-0268-E2CA-5625-5E1108C5BD7D}"/>
                  </a:ext>
                </a:extLst>
              </xdr:cNvPr>
              <xdr:cNvSpPr/>
            </xdr:nvSpPr>
            <xdr:spPr>
              <a:xfrm rot="5400000">
                <a:off x="2357864" y="4340452"/>
                <a:ext cx="54751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59" name="원통 122">
                <a:extLst>
                  <a:ext uri="{FF2B5EF4-FFF2-40B4-BE49-F238E27FC236}">
                    <a16:creationId xmlns:a16="http://schemas.microsoft.com/office/drawing/2014/main" id="{EB7EC0DB-0509-B015-4067-C4F02DB9C23A}"/>
                  </a:ext>
                </a:extLst>
              </xdr:cNvPr>
              <xdr:cNvSpPr/>
            </xdr:nvSpPr>
            <xdr:spPr>
              <a:xfrm rot="5400000">
                <a:off x="2657617" y="4340452"/>
                <a:ext cx="547510" cy="489387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60" name="직선 화살표 연결선 59">
                <a:extLst>
                  <a:ext uri="{FF2B5EF4-FFF2-40B4-BE49-F238E27FC236}">
                    <a16:creationId xmlns:a16="http://schemas.microsoft.com/office/drawing/2014/main" id="{19234D0F-A463-24CC-C220-2953F034BAE0}"/>
                  </a:ext>
                </a:extLst>
              </xdr:cNvPr>
              <xdr:cNvCxnSpPr>
                <a:stCxn id="52" idx="3"/>
                <a:endCxn id="59" idx="1"/>
              </xdr:cNvCxnSpPr>
            </xdr:nvCxnSpPr>
            <xdr:spPr>
              <a:xfrm>
                <a:off x="443405" y="4585142"/>
                <a:ext cx="2732660" cy="3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51" name="직사각형 50">
              <a:extLst>
                <a:ext uri="{FF2B5EF4-FFF2-40B4-BE49-F238E27FC236}">
                  <a16:creationId xmlns:a16="http://schemas.microsoft.com/office/drawing/2014/main" id="{D402E251-BC24-EDDF-6066-39415151A3D2}"/>
                </a:ext>
              </a:extLst>
            </xdr:cNvPr>
            <xdr:cNvSpPr/>
          </xdr:nvSpPr>
          <xdr:spPr>
            <a:xfrm>
              <a:off x="519106" y="4255382"/>
              <a:ext cx="2639494" cy="23207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altLang="ko-KR" sz="1600" b="1">
                  <a:ln>
                    <a:noFill/>
                  </a:ln>
                </a:rPr>
                <a:t>1312</a:t>
              </a:r>
              <a:r>
                <a:rPr lang="ko-KR" altLang="en-US" sz="1600">
                  <a:ln>
                    <a:noFill/>
                  </a:ln>
                </a:rPr>
                <a:t>㎜</a:t>
              </a:r>
            </a:p>
          </xdr:txBody>
        </xdr:sp>
      </xdr:grpSp>
      <xdr:grpSp>
        <xdr:nvGrpSpPr>
          <xdr:cNvPr id="40" name="그룹 39">
            <a:extLst>
              <a:ext uri="{FF2B5EF4-FFF2-40B4-BE49-F238E27FC236}">
                <a16:creationId xmlns:a16="http://schemas.microsoft.com/office/drawing/2014/main" id="{B3C05F8F-768B-E8DE-6C5A-AE0D3CDA619F}"/>
              </a:ext>
            </a:extLst>
          </xdr:cNvPr>
          <xdr:cNvGrpSpPr/>
        </xdr:nvGrpSpPr>
        <xdr:grpSpPr>
          <a:xfrm>
            <a:off x="7371468" y="7007610"/>
            <a:ext cx="546705" cy="736629"/>
            <a:chOff x="475937" y="4123191"/>
            <a:chExt cx="3096139" cy="744818"/>
          </a:xfrm>
        </xdr:grpSpPr>
        <xdr:grpSp>
          <xdr:nvGrpSpPr>
            <xdr:cNvPr id="46" name="그룹 45">
              <a:extLst>
                <a:ext uri="{FF2B5EF4-FFF2-40B4-BE49-F238E27FC236}">
                  <a16:creationId xmlns:a16="http://schemas.microsoft.com/office/drawing/2014/main" id="{F03D43C4-7D5F-6055-FF02-BB3CA61A78EA}"/>
                </a:ext>
              </a:extLst>
            </xdr:cNvPr>
            <xdr:cNvGrpSpPr/>
          </xdr:nvGrpSpPr>
          <xdr:grpSpPr>
            <a:xfrm>
              <a:off x="976344" y="4271312"/>
              <a:ext cx="2364184" cy="571500"/>
              <a:chOff x="930361" y="4291019"/>
              <a:chExt cx="2364184" cy="571500"/>
            </a:xfrm>
          </xdr:grpSpPr>
          <xdr:sp macro="" textlink="">
            <xdr:nvSpPr>
              <xdr:cNvPr id="48" name="원통 100">
                <a:extLst>
                  <a:ext uri="{FF2B5EF4-FFF2-40B4-BE49-F238E27FC236}">
                    <a16:creationId xmlns:a16="http://schemas.microsoft.com/office/drawing/2014/main" id="{333993C1-936A-8E3C-248D-081158F8843B}"/>
                  </a:ext>
                </a:extLst>
              </xdr:cNvPr>
              <xdr:cNvSpPr/>
            </xdr:nvSpPr>
            <xdr:spPr>
              <a:xfrm rot="5400000">
                <a:off x="1826703" y="3394677"/>
                <a:ext cx="571500" cy="2364183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49" name="직선 화살표 연결선 48">
                <a:extLst>
                  <a:ext uri="{FF2B5EF4-FFF2-40B4-BE49-F238E27FC236}">
                    <a16:creationId xmlns:a16="http://schemas.microsoft.com/office/drawing/2014/main" id="{21F2D80F-C048-4A43-E86B-BAAE09FF4AE6}"/>
                  </a:ext>
                </a:extLst>
              </xdr:cNvPr>
              <xdr:cNvCxnSpPr>
                <a:stCxn id="48" idx="3"/>
                <a:endCxn id="48" idx="1"/>
              </xdr:cNvCxnSpPr>
            </xdr:nvCxnSpPr>
            <xdr:spPr>
              <a:xfrm>
                <a:off x="930361" y="4576770"/>
                <a:ext cx="2364184" cy="0"/>
              </a:xfrm>
              <a:prstGeom prst="straightConnector1">
                <a:avLst/>
              </a:prstGeom>
              <a:ln>
                <a:noFill/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47" name="직사각형 46">
              <a:extLst>
                <a:ext uri="{FF2B5EF4-FFF2-40B4-BE49-F238E27FC236}">
                  <a16:creationId xmlns:a16="http://schemas.microsoft.com/office/drawing/2014/main" id="{6D91A74F-517A-66F3-3466-969846F7A6D3}"/>
                </a:ext>
              </a:extLst>
            </xdr:cNvPr>
            <xdr:cNvSpPr/>
          </xdr:nvSpPr>
          <xdr:spPr>
            <a:xfrm>
              <a:off x="475937" y="4123191"/>
              <a:ext cx="3096139" cy="74481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ko-KR" sz="1050" b="1">
                  <a:ln>
                    <a:noFill/>
                  </a:ln>
                </a:rPr>
                <a:t>148</a:t>
              </a:r>
              <a:r>
                <a:rPr lang="ko-KR" altLang="en-US" sz="1100">
                  <a:ln>
                    <a:noFill/>
                  </a:ln>
                </a:rPr>
                <a:t>㎜</a:t>
              </a:r>
            </a:p>
          </xdr:txBody>
        </xdr:sp>
      </xdr:grpSp>
      <xdr:grpSp>
        <xdr:nvGrpSpPr>
          <xdr:cNvPr id="41" name="그룹 40">
            <a:extLst>
              <a:ext uri="{FF2B5EF4-FFF2-40B4-BE49-F238E27FC236}">
                <a16:creationId xmlns:a16="http://schemas.microsoft.com/office/drawing/2014/main" id="{6F91D4C6-1F62-D799-8527-AFB5E0B4D556}"/>
              </a:ext>
            </a:extLst>
          </xdr:cNvPr>
          <xdr:cNvGrpSpPr/>
        </xdr:nvGrpSpPr>
        <xdr:grpSpPr>
          <a:xfrm>
            <a:off x="7918121" y="6932543"/>
            <a:ext cx="560470" cy="770216"/>
            <a:chOff x="757386" y="4047288"/>
            <a:chExt cx="3174096" cy="778778"/>
          </a:xfrm>
        </xdr:grpSpPr>
        <xdr:grpSp>
          <xdr:nvGrpSpPr>
            <xdr:cNvPr id="42" name="그룹 41">
              <a:extLst>
                <a:ext uri="{FF2B5EF4-FFF2-40B4-BE49-F238E27FC236}">
                  <a16:creationId xmlns:a16="http://schemas.microsoft.com/office/drawing/2014/main" id="{F0420E15-F73F-1BF7-C42B-B787FB649C3E}"/>
                </a:ext>
              </a:extLst>
            </xdr:cNvPr>
            <xdr:cNvGrpSpPr/>
          </xdr:nvGrpSpPr>
          <xdr:grpSpPr>
            <a:xfrm>
              <a:off x="1445416" y="4254566"/>
              <a:ext cx="1144604" cy="571500"/>
              <a:chOff x="1399433" y="4274273"/>
              <a:chExt cx="1144604" cy="571500"/>
            </a:xfrm>
          </xdr:grpSpPr>
          <xdr:sp macro="" textlink="">
            <xdr:nvSpPr>
              <xdr:cNvPr id="44" name="원통 96">
                <a:extLst>
                  <a:ext uri="{FF2B5EF4-FFF2-40B4-BE49-F238E27FC236}">
                    <a16:creationId xmlns:a16="http://schemas.microsoft.com/office/drawing/2014/main" id="{8002A5FD-2319-67A5-0E38-42F043374340}"/>
                  </a:ext>
                </a:extLst>
              </xdr:cNvPr>
              <xdr:cNvSpPr/>
            </xdr:nvSpPr>
            <xdr:spPr>
              <a:xfrm rot="5400000">
                <a:off x="1685985" y="3987721"/>
                <a:ext cx="571500" cy="1144604"/>
              </a:xfrm>
              <a:prstGeom prst="can">
                <a:avLst>
                  <a:gd name="adj" fmla="val 66379"/>
                </a:avLst>
              </a:prstGeom>
              <a:ln>
                <a:noFill/>
              </a:ln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45" name="직선 화살표 연결선 44">
                <a:extLst>
                  <a:ext uri="{FF2B5EF4-FFF2-40B4-BE49-F238E27FC236}">
                    <a16:creationId xmlns:a16="http://schemas.microsoft.com/office/drawing/2014/main" id="{B075AC78-66C9-CB86-B617-9DFC452C314F}"/>
                  </a:ext>
                </a:extLst>
              </xdr:cNvPr>
              <xdr:cNvCxnSpPr>
                <a:stCxn id="44" idx="3"/>
                <a:endCxn id="44" idx="1"/>
              </xdr:cNvCxnSpPr>
            </xdr:nvCxnSpPr>
            <xdr:spPr>
              <a:xfrm>
                <a:off x="1399433" y="4560023"/>
                <a:ext cx="1144604" cy="0"/>
              </a:xfrm>
              <a:prstGeom prst="straightConnector1">
                <a:avLst/>
              </a:prstGeom>
              <a:ln>
                <a:noFill/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43" name="직사각형 42">
              <a:extLst>
                <a:ext uri="{FF2B5EF4-FFF2-40B4-BE49-F238E27FC236}">
                  <a16:creationId xmlns:a16="http://schemas.microsoft.com/office/drawing/2014/main" id="{9A49D56E-C242-4BCD-F20F-337785550831}"/>
                </a:ext>
              </a:extLst>
            </xdr:cNvPr>
            <xdr:cNvSpPr/>
          </xdr:nvSpPr>
          <xdr:spPr>
            <a:xfrm>
              <a:off x="757386" y="4047288"/>
              <a:ext cx="3174096" cy="62810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ko-KR" sz="1050" b="1">
                  <a:ln>
                    <a:noFill/>
                  </a:ln>
                </a:rPr>
                <a:t>20</a:t>
              </a:r>
              <a:r>
                <a:rPr lang="ko-KR" altLang="en-US" sz="1100" b="1">
                  <a:ln>
                    <a:noFill/>
                  </a:ln>
                </a:rPr>
                <a:t>㎜</a:t>
              </a:r>
              <a:endParaRPr lang="en-US" altLang="ko-KR" sz="1100" b="1">
                <a:ln>
                  <a:noFill/>
                </a:ln>
              </a:endParaRPr>
            </a:p>
            <a:p>
              <a:pPr algn="l"/>
              <a:r>
                <a:rPr lang="ko-KR" altLang="en-US" sz="1100" b="1">
                  <a:ln>
                    <a:noFill/>
                  </a:ln>
                </a:rPr>
                <a:t>잔량</a:t>
              </a:r>
              <a:endParaRPr lang="en-US" altLang="ko-KR" sz="1100" b="1">
                <a:ln>
                  <a:noFill/>
                </a:ln>
              </a:endParaRPr>
            </a:p>
          </xdr:txBody>
        </xdr:sp>
      </xdr:grpSp>
    </xdr:grpSp>
    <xdr:clientData/>
  </xdr:twoCellAnchor>
  <xdr:twoCellAnchor>
    <xdr:from>
      <xdr:col>4</xdr:col>
      <xdr:colOff>535782</xdr:colOff>
      <xdr:row>40</xdr:row>
      <xdr:rowOff>180975</xdr:rowOff>
    </xdr:from>
    <xdr:to>
      <xdr:col>5</xdr:col>
      <xdr:colOff>553641</xdr:colOff>
      <xdr:row>41</xdr:row>
      <xdr:rowOff>232171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73087F7-2511-483A-A963-C2EB01CA59E2}"/>
            </a:ext>
          </a:extLst>
        </xdr:cNvPr>
        <xdr:cNvSpPr txBox="1"/>
      </xdr:nvSpPr>
      <xdr:spPr>
        <a:xfrm>
          <a:off x="3278982" y="8562975"/>
          <a:ext cx="703659" cy="241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슬리팅 이전</a:t>
          </a:r>
        </a:p>
      </xdr:txBody>
    </xdr:sp>
    <xdr:clientData/>
  </xdr:twoCellAnchor>
  <xdr:twoCellAnchor>
    <xdr:from>
      <xdr:col>7</xdr:col>
      <xdr:colOff>71437</xdr:colOff>
      <xdr:row>40</xdr:row>
      <xdr:rowOff>238124</xdr:rowOff>
    </xdr:from>
    <xdr:to>
      <xdr:col>9</xdr:col>
      <xdr:colOff>646043</xdr:colOff>
      <xdr:row>41</xdr:row>
      <xdr:rowOff>247649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942B3A00-08A9-4FD1-8377-2B2911897D71}"/>
            </a:ext>
          </a:extLst>
        </xdr:cNvPr>
        <xdr:cNvSpPr txBox="1"/>
      </xdr:nvSpPr>
      <xdr:spPr>
        <a:xfrm>
          <a:off x="4872037" y="8591549"/>
          <a:ext cx="1946206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이후코드 변환향 후 </a:t>
          </a:r>
          <a:r>
            <a:rPr lang="en-US" altLang="ko-KR" sz="1100"/>
            <a:t>-</a:t>
          </a:r>
          <a:r>
            <a:rPr lang="ko-KR" altLang="en-US" sz="1100"/>
            <a:t> </a:t>
          </a:r>
          <a:r>
            <a:rPr lang="en-US" altLang="ko-KR" sz="1100"/>
            <a:t>loss</a:t>
          </a:r>
          <a:r>
            <a:rPr lang="ko-KR" altLang="en-US" sz="1100"/>
            <a:t>처리</a:t>
          </a:r>
          <a:endParaRPr lang="en-US" altLang="ko-KR" sz="1100"/>
        </a:p>
      </xdr:txBody>
    </xdr:sp>
    <xdr:clientData/>
  </xdr:twoCellAnchor>
  <xdr:twoCellAnchor>
    <xdr:from>
      <xdr:col>6</xdr:col>
      <xdr:colOff>190504</xdr:colOff>
      <xdr:row>41</xdr:row>
      <xdr:rowOff>119062</xdr:rowOff>
    </xdr:from>
    <xdr:to>
      <xdr:col>6</xdr:col>
      <xdr:colOff>636988</xdr:colOff>
      <xdr:row>44</xdr:row>
      <xdr:rowOff>0</xdr:rowOff>
    </xdr:to>
    <xdr:sp macro="" textlink="">
      <xdr:nvSpPr>
        <xdr:cNvPr id="66" name="아래쪽 화살표 114">
          <a:extLst>
            <a:ext uri="{FF2B5EF4-FFF2-40B4-BE49-F238E27FC236}">
              <a16:creationId xmlns:a16="http://schemas.microsoft.com/office/drawing/2014/main" id="{6BF40D56-8840-4EBD-8E8E-5E68201E5E74}"/>
            </a:ext>
          </a:extLst>
        </xdr:cNvPr>
        <xdr:cNvSpPr/>
      </xdr:nvSpPr>
      <xdr:spPr>
        <a:xfrm rot="16200000">
          <a:off x="4273752" y="8742164"/>
          <a:ext cx="509588" cy="44648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735105</xdr:colOff>
      <xdr:row>2</xdr:row>
      <xdr:rowOff>95250</xdr:rowOff>
    </xdr:from>
    <xdr:to>
      <xdr:col>6</xdr:col>
      <xdr:colOff>201084</xdr:colOff>
      <xdr:row>3</xdr:row>
      <xdr:rowOff>155286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AF2221-E354-42FE-B8EA-F8A54E4E47E7}"/>
            </a:ext>
          </a:extLst>
        </xdr:cNvPr>
        <xdr:cNvSpPr txBox="1"/>
      </xdr:nvSpPr>
      <xdr:spPr>
        <a:xfrm>
          <a:off x="3113180" y="641350"/>
          <a:ext cx="939179" cy="250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자재명</a:t>
          </a:r>
        </a:p>
      </xdr:txBody>
    </xdr:sp>
    <xdr:clientData/>
  </xdr:twoCellAnchor>
  <xdr:twoCellAnchor>
    <xdr:from>
      <xdr:col>17</xdr:col>
      <xdr:colOff>299564</xdr:colOff>
      <xdr:row>2</xdr:row>
      <xdr:rowOff>51377</xdr:rowOff>
    </xdr:from>
    <xdr:to>
      <xdr:col>18</xdr:col>
      <xdr:colOff>363064</xdr:colOff>
      <xdr:row>3</xdr:row>
      <xdr:rowOff>189546</xdr:rowOff>
    </xdr:to>
    <xdr:sp macro="" textlink="">
      <xdr:nvSpPr>
        <xdr:cNvPr id="3" name="사각형: 빗면 2">
          <a:extLst>
            <a:ext uri="{FF2B5EF4-FFF2-40B4-BE49-F238E27FC236}">
              <a16:creationId xmlns:a16="http://schemas.microsoft.com/office/drawing/2014/main" id="{79BF7CE0-9A6D-4998-8613-F4358FCA9922}"/>
            </a:ext>
          </a:extLst>
        </xdr:cNvPr>
        <xdr:cNvSpPr/>
      </xdr:nvSpPr>
      <xdr:spPr>
        <a:xfrm>
          <a:off x="11593039" y="600652"/>
          <a:ext cx="746125" cy="325494"/>
        </a:xfrm>
        <a:prstGeom prst="bevel">
          <a:avLst>
            <a:gd name="adj" fmla="val 15890"/>
          </a:avLst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조회</a:t>
          </a:r>
        </a:p>
      </xdr:txBody>
    </xdr:sp>
    <xdr:clientData/>
  </xdr:twoCellAnchor>
  <xdr:twoCellAnchor>
    <xdr:from>
      <xdr:col>0</xdr:col>
      <xdr:colOff>393700</xdr:colOff>
      <xdr:row>2</xdr:row>
      <xdr:rowOff>88900</xdr:rowOff>
    </xdr:from>
    <xdr:to>
      <xdr:col>2</xdr:col>
      <xdr:colOff>438150</xdr:colOff>
      <xdr:row>3</xdr:row>
      <xdr:rowOff>148936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119171-E214-4C3E-8DB1-954B210CD056}"/>
            </a:ext>
          </a:extLst>
        </xdr:cNvPr>
        <xdr:cNvSpPr txBox="1"/>
      </xdr:nvSpPr>
      <xdr:spPr>
        <a:xfrm>
          <a:off x="187325" y="638175"/>
          <a:ext cx="809625" cy="247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자재그룹</a:t>
          </a:r>
        </a:p>
      </xdr:txBody>
    </xdr:sp>
    <xdr:clientData/>
  </xdr:twoCellAnchor>
  <xdr:twoCellAnchor>
    <xdr:from>
      <xdr:col>2</xdr:col>
      <xdr:colOff>336551</xdr:colOff>
      <xdr:row>2</xdr:row>
      <xdr:rowOff>88900</xdr:rowOff>
    </xdr:from>
    <xdr:to>
      <xdr:col>5</xdr:col>
      <xdr:colOff>194236</xdr:colOff>
      <xdr:row>3</xdr:row>
      <xdr:rowOff>201636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43934D43-FDCD-4ED8-BD75-71A3A23D33D1}"/>
            </a:ext>
          </a:extLst>
        </xdr:cNvPr>
        <xdr:cNvGrpSpPr/>
      </xdr:nvGrpSpPr>
      <xdr:grpSpPr>
        <a:xfrm>
          <a:off x="885639" y="637988"/>
          <a:ext cx="2401421" cy="303236"/>
          <a:chOff x="1085850" y="533400"/>
          <a:chExt cx="2473445" cy="328636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1EF33DE-117E-3B94-6CA3-34A9E1B4A72D}"/>
              </a:ext>
            </a:extLst>
          </xdr:cNvPr>
          <xdr:cNvSpPr txBox="1"/>
        </xdr:nvSpPr>
        <xdr:spPr>
          <a:xfrm>
            <a:off x="1085850" y="546100"/>
            <a:ext cx="813299" cy="275936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100"/>
          </a:p>
        </xdr:txBody>
      </xdr:sp>
      <xdr:pic>
        <xdr:nvPicPr>
          <xdr:cNvPr id="7" name="그림 6">
            <a:extLst>
              <a:ext uri="{FF2B5EF4-FFF2-40B4-BE49-F238E27FC236}">
                <a16:creationId xmlns:a16="http://schemas.microsoft.com/office/drawing/2014/main" id="{0FB9DE8B-904E-A389-609D-53AB7A21B6A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37903" t="3166" r="54839"/>
          <a:stretch/>
        </xdr:blipFill>
        <xdr:spPr>
          <a:xfrm>
            <a:off x="1924050" y="533400"/>
            <a:ext cx="295382" cy="328636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6DDC19E-0C7E-BBE5-5D41-4F21D0A44497}"/>
              </a:ext>
            </a:extLst>
          </xdr:cNvPr>
          <xdr:cNvSpPr txBox="1"/>
        </xdr:nvSpPr>
        <xdr:spPr>
          <a:xfrm>
            <a:off x="2254250" y="546101"/>
            <a:ext cx="1305045" cy="275936"/>
          </a:xfrm>
          <a:prstGeom prst="rect">
            <a:avLst/>
          </a:prstGeom>
          <a:solidFill>
            <a:schemeClr val="bg1">
              <a:lumMod val="7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6</xdr:col>
      <xdr:colOff>13075</xdr:colOff>
      <xdr:row>2</xdr:row>
      <xdr:rowOff>76200</xdr:rowOff>
    </xdr:from>
    <xdr:to>
      <xdr:col>11</xdr:col>
      <xdr:colOff>478119</xdr:colOff>
      <xdr:row>3</xdr:row>
      <xdr:rowOff>188936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202941E0-B538-4A36-94AE-10F1891A6006}"/>
            </a:ext>
          </a:extLst>
        </xdr:cNvPr>
        <xdr:cNvGrpSpPr/>
      </xdr:nvGrpSpPr>
      <xdr:grpSpPr>
        <a:xfrm>
          <a:off x="3834281" y="625288"/>
          <a:ext cx="3535456" cy="303236"/>
          <a:chOff x="777792" y="527050"/>
          <a:chExt cx="3076658" cy="328636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3A0835BB-B14F-B509-0023-2997C2DCB2ED}"/>
              </a:ext>
            </a:extLst>
          </xdr:cNvPr>
          <xdr:cNvSpPr txBox="1"/>
        </xdr:nvSpPr>
        <xdr:spPr>
          <a:xfrm>
            <a:off x="777792" y="546100"/>
            <a:ext cx="1152608" cy="275936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0101-0927-1100</a:t>
            </a:r>
            <a:r>
              <a:rPr lang="ko-KR" altLang="en-US" sz="1000" b="1"/>
              <a:t> </a:t>
            </a:r>
            <a:endParaRPr lang="ko-KR" altLang="en-US" sz="1000" b="1">
              <a:latin typeface="+mj-ea"/>
              <a:ea typeface="+mj-ea"/>
            </a:endParaRPr>
          </a:p>
        </xdr:txBody>
      </xdr:sp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723D4500-EFCE-E088-4A06-2B8365E65A5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37903" t="3166" r="54839"/>
          <a:stretch/>
        </xdr:blipFill>
        <xdr:spPr>
          <a:xfrm>
            <a:off x="1962150" y="527050"/>
            <a:ext cx="295382" cy="328636"/>
          </a:xfrm>
          <a:prstGeom prst="rect">
            <a:avLst/>
          </a:prstGeom>
        </xdr:spPr>
      </xdr:pic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21C396F-6C30-FD7C-027A-43B63AAE3915}"/>
              </a:ext>
            </a:extLst>
          </xdr:cNvPr>
          <xdr:cNvSpPr txBox="1"/>
        </xdr:nvSpPr>
        <xdr:spPr>
          <a:xfrm>
            <a:off x="2292350" y="546100"/>
            <a:ext cx="1562100" cy="275936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 b="1"/>
              <a:t>RF02ASD</a:t>
            </a:r>
            <a:endParaRPr lang="ko-KR" altLang="en-US" sz="1100" b="1"/>
          </a:p>
        </xdr:txBody>
      </xdr:sp>
    </xdr:grpSp>
    <xdr:clientData/>
  </xdr:twoCellAnchor>
  <xdr:twoCellAnchor editAs="oneCell">
    <xdr:from>
      <xdr:col>19</xdr:col>
      <xdr:colOff>12700</xdr:colOff>
      <xdr:row>4</xdr:row>
      <xdr:rowOff>6351</xdr:rowOff>
    </xdr:from>
    <xdr:to>
      <xdr:col>19</xdr:col>
      <xdr:colOff>168275</xdr:colOff>
      <xdr:row>17</xdr:row>
      <xdr:rowOff>15876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57474DA-05FA-4B3B-B47F-B1A903888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77775" y="955676"/>
          <a:ext cx="155575" cy="2571750"/>
        </a:xfrm>
        <a:prstGeom prst="rect">
          <a:avLst/>
        </a:prstGeom>
      </xdr:spPr>
    </xdr:pic>
    <xdr:clientData/>
  </xdr:twoCellAnchor>
  <xdr:twoCellAnchor>
    <xdr:from>
      <xdr:col>11</xdr:col>
      <xdr:colOff>379874</xdr:colOff>
      <xdr:row>2</xdr:row>
      <xdr:rowOff>95250</xdr:rowOff>
    </xdr:from>
    <xdr:to>
      <xdr:col>13</xdr:col>
      <xdr:colOff>8712</xdr:colOff>
      <xdr:row>3</xdr:row>
      <xdr:rowOff>155286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78BD4A-3C93-40B1-9038-52EF0A274173}"/>
            </a:ext>
          </a:extLst>
        </xdr:cNvPr>
        <xdr:cNvSpPr txBox="1"/>
      </xdr:nvSpPr>
      <xdr:spPr>
        <a:xfrm>
          <a:off x="7301374" y="641350"/>
          <a:ext cx="1054413" cy="250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자재</a:t>
          </a:r>
          <a:r>
            <a:rPr lang="en-US" altLang="ko-KR" sz="1100" b="1"/>
            <a:t>LOT</a:t>
          </a:r>
          <a:endParaRPr lang="ko-KR" altLang="en-US" sz="1100" b="1"/>
        </a:p>
      </xdr:txBody>
    </xdr:sp>
    <xdr:clientData/>
  </xdr:twoCellAnchor>
  <xdr:twoCellAnchor>
    <xdr:from>
      <xdr:col>12</xdr:col>
      <xdr:colOff>471770</xdr:colOff>
      <xdr:row>2</xdr:row>
      <xdr:rowOff>97118</xdr:rowOff>
    </xdr:from>
    <xdr:to>
      <xdr:col>14</xdr:col>
      <xdr:colOff>343646</xdr:colOff>
      <xdr:row>3</xdr:row>
      <xdr:rowOff>142586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ADE04DE-1A0C-4AEB-9A4A-980308CA8A2C}"/>
            </a:ext>
          </a:extLst>
        </xdr:cNvPr>
        <xdr:cNvSpPr txBox="1"/>
      </xdr:nvSpPr>
      <xdr:spPr>
        <a:xfrm>
          <a:off x="8079070" y="643218"/>
          <a:ext cx="1294276" cy="23914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800">
            <a:latin typeface="+mj-ea"/>
            <a:ea typeface="+mj-ea"/>
          </a:endParaRPr>
        </a:p>
      </xdr:txBody>
    </xdr:sp>
    <xdr:clientData/>
  </xdr:twoCellAnchor>
  <xdr:twoCellAnchor>
    <xdr:from>
      <xdr:col>14</xdr:col>
      <xdr:colOff>323850</xdr:colOff>
      <xdr:row>28</xdr:row>
      <xdr:rowOff>31750</xdr:rowOff>
    </xdr:from>
    <xdr:to>
      <xdr:col>14</xdr:col>
      <xdr:colOff>449850</xdr:colOff>
      <xdr:row>28</xdr:row>
      <xdr:rowOff>157750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1F498DC6-9F3B-4132-81A5-FE9ACF3110B3}"/>
            </a:ext>
          </a:extLst>
        </xdr:cNvPr>
        <xdr:cNvSpPr/>
      </xdr:nvSpPr>
      <xdr:spPr>
        <a:xfrm>
          <a:off x="9353550" y="5807075"/>
          <a:ext cx="129175" cy="126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307975</xdr:colOff>
      <xdr:row>28</xdr:row>
      <xdr:rowOff>52387</xdr:rowOff>
    </xdr:from>
    <xdr:to>
      <xdr:col>15</xdr:col>
      <xdr:colOff>433975</xdr:colOff>
      <xdr:row>28</xdr:row>
      <xdr:rowOff>178387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8B88E29-6BAB-498B-9484-316BBC09415F}"/>
            </a:ext>
          </a:extLst>
        </xdr:cNvPr>
        <xdr:cNvSpPr/>
      </xdr:nvSpPr>
      <xdr:spPr>
        <a:xfrm>
          <a:off x="10093325" y="5827712"/>
          <a:ext cx="126000" cy="126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323850</xdr:colOff>
      <xdr:row>29</xdr:row>
      <xdr:rowOff>25400</xdr:rowOff>
    </xdr:from>
    <xdr:to>
      <xdr:col>14</xdr:col>
      <xdr:colOff>449850</xdr:colOff>
      <xdr:row>29</xdr:row>
      <xdr:rowOff>151400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A86E358D-76AA-4493-84FC-F168B19785DB}"/>
            </a:ext>
          </a:extLst>
        </xdr:cNvPr>
        <xdr:cNvSpPr/>
      </xdr:nvSpPr>
      <xdr:spPr>
        <a:xfrm>
          <a:off x="9353550" y="6010275"/>
          <a:ext cx="129175" cy="122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311150</xdr:colOff>
      <xdr:row>29</xdr:row>
      <xdr:rowOff>25400</xdr:rowOff>
    </xdr:from>
    <xdr:to>
      <xdr:col>15</xdr:col>
      <xdr:colOff>437150</xdr:colOff>
      <xdr:row>29</xdr:row>
      <xdr:rowOff>151400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4536721C-D8B5-4D34-8BC1-0B731B488FCF}"/>
            </a:ext>
          </a:extLst>
        </xdr:cNvPr>
        <xdr:cNvSpPr/>
      </xdr:nvSpPr>
      <xdr:spPr>
        <a:xfrm>
          <a:off x="10099675" y="6010275"/>
          <a:ext cx="122825" cy="122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323850</xdr:colOff>
      <xdr:row>30</xdr:row>
      <xdr:rowOff>31750</xdr:rowOff>
    </xdr:from>
    <xdr:to>
      <xdr:col>14</xdr:col>
      <xdr:colOff>449850</xdr:colOff>
      <xdr:row>30</xdr:row>
      <xdr:rowOff>157750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DD222462-97B9-4E5F-BF55-7A86171852B1}"/>
            </a:ext>
          </a:extLst>
        </xdr:cNvPr>
        <xdr:cNvSpPr/>
      </xdr:nvSpPr>
      <xdr:spPr>
        <a:xfrm>
          <a:off x="9353550" y="6226175"/>
          <a:ext cx="129175" cy="126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312736</xdr:colOff>
      <xdr:row>30</xdr:row>
      <xdr:rowOff>47625</xdr:rowOff>
    </xdr:from>
    <xdr:to>
      <xdr:col>15</xdr:col>
      <xdr:colOff>438736</xdr:colOff>
      <xdr:row>30</xdr:row>
      <xdr:rowOff>173625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085CBF7-46A4-4C8B-8065-13439E5C984E}"/>
            </a:ext>
          </a:extLst>
        </xdr:cNvPr>
        <xdr:cNvSpPr/>
      </xdr:nvSpPr>
      <xdr:spPr>
        <a:xfrm>
          <a:off x="10101261" y="6242050"/>
          <a:ext cx="122825" cy="122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236461</xdr:colOff>
      <xdr:row>41</xdr:row>
      <xdr:rowOff>185470</xdr:rowOff>
    </xdr:from>
    <xdr:to>
      <xdr:col>5</xdr:col>
      <xdr:colOff>128120</xdr:colOff>
      <xdr:row>42</xdr:row>
      <xdr:rowOff>177207</xdr:rowOff>
    </xdr:to>
    <xdr:cxnSp macro="">
      <xdr:nvCxnSpPr>
        <xdr:cNvPr id="22" name="연결선: 꺾임 21">
          <a:extLst>
            <a:ext uri="{FF2B5EF4-FFF2-40B4-BE49-F238E27FC236}">
              <a16:creationId xmlns:a16="http://schemas.microsoft.com/office/drawing/2014/main" id="{F21CEC07-8A35-47CD-A34C-777511626CAB}"/>
            </a:ext>
          </a:extLst>
        </xdr:cNvPr>
        <xdr:cNvCxnSpPr>
          <a:stCxn id="25" idx="3"/>
          <a:endCxn id="27" idx="0"/>
        </xdr:cNvCxnSpPr>
      </xdr:nvCxnSpPr>
      <xdr:spPr>
        <a:xfrm>
          <a:off x="1382636" y="8786545"/>
          <a:ext cx="1860159" cy="201287"/>
        </a:xfrm>
        <a:prstGeom prst="bentConnector2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180814</xdr:colOff>
      <xdr:row>41</xdr:row>
      <xdr:rowOff>40392</xdr:rowOff>
    </xdr:from>
    <xdr:to>
      <xdr:col>8</xdr:col>
      <xdr:colOff>1003459</xdr:colOff>
      <xdr:row>59</xdr:row>
      <xdr:rowOff>13177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5CD8A7B2-3C8E-4DE2-B1E3-A99AE20CFFD0}"/>
            </a:ext>
          </a:extLst>
        </xdr:cNvPr>
        <xdr:cNvGrpSpPr/>
      </xdr:nvGrpSpPr>
      <xdr:grpSpPr>
        <a:xfrm>
          <a:off x="180814" y="8736157"/>
          <a:ext cx="5831674" cy="3939667"/>
          <a:chOff x="10864850" y="469900"/>
          <a:chExt cx="5454930" cy="4661118"/>
        </a:xfrm>
      </xdr:grpSpPr>
      <xdr:grpSp>
        <xdr:nvGrpSpPr>
          <xdr:cNvPr id="24" name="그룹 23">
            <a:extLst>
              <a:ext uri="{FF2B5EF4-FFF2-40B4-BE49-F238E27FC236}">
                <a16:creationId xmlns:a16="http://schemas.microsoft.com/office/drawing/2014/main" id="{C6234D5A-1593-FE7E-5830-0003FE5A207E}"/>
              </a:ext>
            </a:extLst>
          </xdr:cNvPr>
          <xdr:cNvGrpSpPr/>
        </xdr:nvGrpSpPr>
        <xdr:grpSpPr>
          <a:xfrm>
            <a:off x="10864850" y="469900"/>
            <a:ext cx="5454930" cy="4661118"/>
            <a:chOff x="10826750" y="438150"/>
            <a:chExt cx="5454930" cy="4661118"/>
          </a:xfrm>
        </xdr:grpSpPr>
        <xdr:pic>
          <xdr:nvPicPr>
            <xdr:cNvPr id="26" name="그림 25">
              <a:extLst>
                <a:ext uri="{FF2B5EF4-FFF2-40B4-BE49-F238E27FC236}">
                  <a16:creationId xmlns:a16="http://schemas.microsoft.com/office/drawing/2014/main" id="{C0615E2F-74E6-ECC1-FE61-E92C95CC735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37903" t="3166" r="54839"/>
            <a:stretch/>
          </xdr:blipFill>
          <xdr:spPr>
            <a:xfrm>
              <a:off x="10858500" y="438150"/>
              <a:ext cx="285750" cy="388454"/>
            </a:xfrm>
            <a:prstGeom prst="rect">
              <a:avLst/>
            </a:prstGeom>
          </xdr:spPr>
        </xdr:pic>
        <xdr:pic>
          <xdr:nvPicPr>
            <xdr:cNvPr id="27" name="그림 26">
              <a:extLst>
                <a:ext uri="{FF2B5EF4-FFF2-40B4-BE49-F238E27FC236}">
                  <a16:creationId xmlns:a16="http://schemas.microsoft.com/office/drawing/2014/main" id="{455B133F-2D29-8091-A068-CD5308FBAF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826750" y="863600"/>
              <a:ext cx="5454930" cy="4235668"/>
            </a:xfrm>
            <a:prstGeom prst="rect">
              <a:avLst/>
            </a:prstGeom>
          </xdr:spPr>
        </xdr:pic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D1B35C9D-77A4-8C4B-A0EA-0F7A4458E420}"/>
              </a:ext>
            </a:extLst>
          </xdr:cNvPr>
          <xdr:cNvSpPr txBox="1"/>
        </xdr:nvSpPr>
        <xdr:spPr>
          <a:xfrm>
            <a:off x="11210924" y="488950"/>
            <a:ext cx="1050925" cy="3111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/>
              <a:t>검색용아이콘</a:t>
            </a:r>
          </a:p>
        </xdr:txBody>
      </xdr:sp>
    </xdr:grpSp>
    <xdr:clientData/>
  </xdr:twoCellAnchor>
  <xdr:twoCellAnchor>
    <xdr:from>
      <xdr:col>14</xdr:col>
      <xdr:colOff>170705</xdr:colOff>
      <xdr:row>2</xdr:row>
      <xdr:rowOff>95250</xdr:rowOff>
    </xdr:from>
    <xdr:to>
      <xdr:col>15</xdr:col>
      <xdr:colOff>367307</xdr:colOff>
      <xdr:row>3</xdr:row>
      <xdr:rowOff>155286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B1215A8-815A-42C1-9710-D81D3977D53B}"/>
            </a:ext>
          </a:extLst>
        </xdr:cNvPr>
        <xdr:cNvSpPr txBox="1"/>
      </xdr:nvSpPr>
      <xdr:spPr>
        <a:xfrm>
          <a:off x="9200405" y="641350"/>
          <a:ext cx="955427" cy="250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창고</a:t>
          </a:r>
        </a:p>
      </xdr:txBody>
    </xdr:sp>
    <xdr:clientData/>
  </xdr:twoCellAnchor>
  <xdr:twoCellAnchor>
    <xdr:from>
      <xdr:col>15</xdr:col>
      <xdr:colOff>225241</xdr:colOff>
      <xdr:row>2</xdr:row>
      <xdr:rowOff>97118</xdr:rowOff>
    </xdr:from>
    <xdr:to>
      <xdr:col>16</xdr:col>
      <xdr:colOff>590175</xdr:colOff>
      <xdr:row>3</xdr:row>
      <xdr:rowOff>142586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53F7EB3-ABF5-4CEF-86D8-9ECBDB3A1AF0}"/>
            </a:ext>
          </a:extLst>
        </xdr:cNvPr>
        <xdr:cNvSpPr txBox="1"/>
      </xdr:nvSpPr>
      <xdr:spPr>
        <a:xfrm>
          <a:off x="10010591" y="643218"/>
          <a:ext cx="1184084" cy="23914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800"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90391</xdr:colOff>
      <xdr:row>18</xdr:row>
      <xdr:rowOff>44824</xdr:rowOff>
    </xdr:from>
    <xdr:to>
      <xdr:col>8</xdr:col>
      <xdr:colOff>841185</xdr:colOff>
      <xdr:row>18</xdr:row>
      <xdr:rowOff>268942</xdr:rowOff>
    </xdr:to>
    <xdr:sp macro="" textlink="">
      <xdr:nvSpPr>
        <xdr:cNvPr id="30" name="사각형: 빗면 29">
          <a:extLst>
            <a:ext uri="{FF2B5EF4-FFF2-40B4-BE49-F238E27FC236}">
              <a16:creationId xmlns:a16="http://schemas.microsoft.com/office/drawing/2014/main" id="{CDAF46FA-01EE-4695-B0EF-84C732F7A7C1}"/>
            </a:ext>
          </a:extLst>
        </xdr:cNvPr>
        <xdr:cNvSpPr/>
      </xdr:nvSpPr>
      <xdr:spPr>
        <a:xfrm>
          <a:off x="5135466" y="3616699"/>
          <a:ext cx="747619" cy="220943"/>
        </a:xfrm>
        <a:prstGeom prst="bevel">
          <a:avLst>
            <a:gd name="adj" fmla="val 15890"/>
          </a:avLst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승인</a:t>
          </a:r>
        </a:p>
      </xdr:txBody>
    </xdr:sp>
    <xdr:clientData/>
  </xdr:twoCellAnchor>
  <xdr:twoCellAnchor>
    <xdr:from>
      <xdr:col>8</xdr:col>
      <xdr:colOff>889743</xdr:colOff>
      <xdr:row>18</xdr:row>
      <xdr:rowOff>52295</xdr:rowOff>
    </xdr:from>
    <xdr:to>
      <xdr:col>9</xdr:col>
      <xdr:colOff>579714</xdr:colOff>
      <xdr:row>18</xdr:row>
      <xdr:rowOff>276413</xdr:rowOff>
    </xdr:to>
    <xdr:sp macro="" textlink="">
      <xdr:nvSpPr>
        <xdr:cNvPr id="31" name="사각형: 빗면 30">
          <a:extLst>
            <a:ext uri="{FF2B5EF4-FFF2-40B4-BE49-F238E27FC236}">
              <a16:creationId xmlns:a16="http://schemas.microsoft.com/office/drawing/2014/main" id="{CAAFD722-728F-4878-88E3-D57CEFF4EA8C}"/>
            </a:ext>
          </a:extLst>
        </xdr:cNvPr>
        <xdr:cNvSpPr/>
      </xdr:nvSpPr>
      <xdr:spPr>
        <a:xfrm>
          <a:off x="5934818" y="3624170"/>
          <a:ext cx="750421" cy="224118"/>
        </a:xfrm>
        <a:prstGeom prst="bevel">
          <a:avLst>
            <a:gd name="adj" fmla="val 15890"/>
          </a:avLst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취소</a:t>
          </a:r>
        </a:p>
      </xdr:txBody>
    </xdr:sp>
    <xdr:clientData/>
  </xdr:twoCellAnchor>
  <xdr:twoCellAnchor>
    <xdr:from>
      <xdr:col>4</xdr:col>
      <xdr:colOff>531156</xdr:colOff>
      <xdr:row>18</xdr:row>
      <xdr:rowOff>59766</xdr:rowOff>
    </xdr:from>
    <xdr:to>
      <xdr:col>5</xdr:col>
      <xdr:colOff>542361</xdr:colOff>
      <xdr:row>18</xdr:row>
      <xdr:rowOff>283884</xdr:rowOff>
    </xdr:to>
    <xdr:sp macro="" textlink="">
      <xdr:nvSpPr>
        <xdr:cNvPr id="32" name="사각형: 빗면 31">
          <a:extLst>
            <a:ext uri="{FF2B5EF4-FFF2-40B4-BE49-F238E27FC236}">
              <a16:creationId xmlns:a16="http://schemas.microsoft.com/office/drawing/2014/main" id="{CA618A27-9C6D-4BFA-A4D6-4CFF498459CD}"/>
            </a:ext>
          </a:extLst>
        </xdr:cNvPr>
        <xdr:cNvSpPr/>
      </xdr:nvSpPr>
      <xdr:spPr>
        <a:xfrm>
          <a:off x="2906056" y="3628466"/>
          <a:ext cx="750980" cy="224118"/>
        </a:xfrm>
        <a:prstGeom prst="bevel">
          <a:avLst>
            <a:gd name="adj" fmla="val 15890"/>
          </a:avLst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조회</a:t>
          </a:r>
        </a:p>
      </xdr:txBody>
    </xdr:sp>
    <xdr:clientData/>
  </xdr:twoCellAnchor>
  <xdr:twoCellAnchor>
    <xdr:from>
      <xdr:col>3</xdr:col>
      <xdr:colOff>493059</xdr:colOff>
      <xdr:row>18</xdr:row>
      <xdr:rowOff>59766</xdr:rowOff>
    </xdr:from>
    <xdr:to>
      <xdr:col>4</xdr:col>
      <xdr:colOff>454581</xdr:colOff>
      <xdr:row>18</xdr:row>
      <xdr:rowOff>299469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21A7F1B-F528-47D2-9D99-DB6FB4D221C5}"/>
            </a:ext>
          </a:extLst>
        </xdr:cNvPr>
        <xdr:cNvSpPr txBox="1"/>
      </xdr:nvSpPr>
      <xdr:spPr>
        <a:xfrm>
          <a:off x="1636059" y="3628466"/>
          <a:ext cx="1193422" cy="24287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800">
            <a:latin typeface="+mj-ea"/>
            <a:ea typeface="+mj-ea"/>
          </a:endParaRPr>
        </a:p>
      </xdr:txBody>
    </xdr:sp>
    <xdr:clientData/>
  </xdr:twoCellAnchor>
  <xdr:twoCellAnchor>
    <xdr:from>
      <xdr:col>2</xdr:col>
      <xdr:colOff>216648</xdr:colOff>
      <xdr:row>18</xdr:row>
      <xdr:rowOff>29883</xdr:rowOff>
    </xdr:from>
    <xdr:to>
      <xdr:col>3</xdr:col>
      <xdr:colOff>577603</xdr:colOff>
      <xdr:row>18</xdr:row>
      <xdr:rowOff>284154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CAAAA20-55DD-42E9-95C3-FD35B388EB43}"/>
            </a:ext>
          </a:extLst>
        </xdr:cNvPr>
        <xdr:cNvSpPr txBox="1"/>
      </xdr:nvSpPr>
      <xdr:spPr>
        <a:xfrm>
          <a:off x="778623" y="3601758"/>
          <a:ext cx="945155" cy="251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PO</a:t>
          </a:r>
          <a:r>
            <a:rPr lang="en-US" altLang="ko-KR" sz="1100" b="1" baseline="0"/>
            <a:t> NO</a:t>
          </a:r>
          <a:endParaRPr lang="ko-KR" altLang="en-US" sz="1100" b="1"/>
        </a:p>
      </xdr:txBody>
    </xdr:sp>
    <xdr:clientData/>
  </xdr:twoCellAnchor>
  <xdr:twoCellAnchor>
    <xdr:from>
      <xdr:col>6</xdr:col>
      <xdr:colOff>448978</xdr:colOff>
      <xdr:row>18</xdr:row>
      <xdr:rowOff>44824</xdr:rowOff>
    </xdr:from>
    <xdr:to>
      <xdr:col>8</xdr:col>
      <xdr:colOff>4478</xdr:colOff>
      <xdr:row>18</xdr:row>
      <xdr:rowOff>268942</xdr:rowOff>
    </xdr:to>
    <xdr:sp macro="" textlink="">
      <xdr:nvSpPr>
        <xdr:cNvPr id="35" name="사각형: 빗면 34">
          <a:extLst>
            <a:ext uri="{FF2B5EF4-FFF2-40B4-BE49-F238E27FC236}">
              <a16:creationId xmlns:a16="http://schemas.microsoft.com/office/drawing/2014/main" id="{A35EA181-36FF-4E71-9D29-BF93E2B9B767}"/>
            </a:ext>
          </a:extLst>
        </xdr:cNvPr>
        <xdr:cNvSpPr/>
      </xdr:nvSpPr>
      <xdr:spPr>
        <a:xfrm>
          <a:off x="4300253" y="3616699"/>
          <a:ext cx="746125" cy="220943"/>
        </a:xfrm>
        <a:prstGeom prst="bevel">
          <a:avLst>
            <a:gd name="adj" fmla="val 15890"/>
          </a:avLst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저장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337671</xdr:colOff>
          <xdr:row>38</xdr:row>
          <xdr:rowOff>29135</xdr:rowOff>
        </xdr:from>
        <xdr:ext cx="672353" cy="212912"/>
        <xdr:pic>
          <xdr:nvPicPr>
            <xdr:cNvPr id="36" name="그림 35">
              <a:extLst>
                <a:ext uri="{FF2B5EF4-FFF2-40B4-BE49-F238E27FC236}">
                  <a16:creationId xmlns:a16="http://schemas.microsoft.com/office/drawing/2014/main" id="{FACFF056-3932-4A23-AAE3-49D2D8E96E5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J$23" spid="_x0000_s204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324789" y="8086164"/>
              <a:ext cx="672353" cy="21291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oneCellAnchor>
    </mc:Choice>
    <mc:Fallback/>
  </mc:AlternateContent>
  <xdr:twoCellAnchor>
    <xdr:from>
      <xdr:col>16</xdr:col>
      <xdr:colOff>649942</xdr:colOff>
      <xdr:row>26</xdr:row>
      <xdr:rowOff>186764</xdr:rowOff>
    </xdr:from>
    <xdr:to>
      <xdr:col>18</xdr:col>
      <xdr:colOff>56030</xdr:colOff>
      <xdr:row>27</xdr:row>
      <xdr:rowOff>194235</xdr:rowOff>
    </xdr:to>
    <xdr:sp macro="" textlink="">
      <xdr:nvSpPr>
        <xdr:cNvPr id="37" name="사각형: 빗면 36">
          <a:extLst>
            <a:ext uri="{FF2B5EF4-FFF2-40B4-BE49-F238E27FC236}">
              <a16:creationId xmlns:a16="http://schemas.microsoft.com/office/drawing/2014/main" id="{5406DD9B-8BF8-42DA-9119-D8A7F595CCFC}"/>
            </a:ext>
          </a:extLst>
        </xdr:cNvPr>
        <xdr:cNvSpPr/>
      </xdr:nvSpPr>
      <xdr:spPr>
        <a:xfrm>
          <a:off x="11254442" y="5539814"/>
          <a:ext cx="777688" cy="217021"/>
        </a:xfrm>
        <a:prstGeom prst="bevel">
          <a:avLst>
            <a:gd name="adj" fmla="val 15890"/>
          </a:avLst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/>
            <a:t>저장</a:t>
          </a:r>
        </a:p>
      </xdr:txBody>
    </xdr:sp>
    <xdr:clientData/>
  </xdr:twoCellAnchor>
  <xdr:twoCellAnchor>
    <xdr:from>
      <xdr:col>16</xdr:col>
      <xdr:colOff>307975</xdr:colOff>
      <xdr:row>28</xdr:row>
      <xdr:rowOff>52387</xdr:rowOff>
    </xdr:from>
    <xdr:to>
      <xdr:col>16</xdr:col>
      <xdr:colOff>433975</xdr:colOff>
      <xdr:row>28</xdr:row>
      <xdr:rowOff>178387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1EAEE0EF-8F2C-4605-8501-33BCAC4A92E3}"/>
            </a:ext>
          </a:extLst>
        </xdr:cNvPr>
        <xdr:cNvSpPr/>
      </xdr:nvSpPr>
      <xdr:spPr>
        <a:xfrm>
          <a:off x="10912475" y="5827712"/>
          <a:ext cx="126000" cy="126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311150</xdr:colOff>
      <xdr:row>29</xdr:row>
      <xdr:rowOff>25400</xdr:rowOff>
    </xdr:from>
    <xdr:to>
      <xdr:col>16</xdr:col>
      <xdr:colOff>437150</xdr:colOff>
      <xdr:row>29</xdr:row>
      <xdr:rowOff>151400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32450D10-984C-495A-B884-F5603C15A66B}"/>
            </a:ext>
          </a:extLst>
        </xdr:cNvPr>
        <xdr:cNvSpPr/>
      </xdr:nvSpPr>
      <xdr:spPr>
        <a:xfrm>
          <a:off x="10918825" y="6010275"/>
          <a:ext cx="122825" cy="122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312736</xdr:colOff>
      <xdr:row>30</xdr:row>
      <xdr:rowOff>47625</xdr:rowOff>
    </xdr:from>
    <xdr:to>
      <xdr:col>16</xdr:col>
      <xdr:colOff>438736</xdr:colOff>
      <xdr:row>30</xdr:row>
      <xdr:rowOff>173625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5AD43633-05C1-40C4-BE98-BB98C02C3F1F}"/>
            </a:ext>
          </a:extLst>
        </xdr:cNvPr>
        <xdr:cNvSpPr/>
      </xdr:nvSpPr>
      <xdr:spPr>
        <a:xfrm>
          <a:off x="10920411" y="6242050"/>
          <a:ext cx="122825" cy="122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161925</xdr:colOff>
      <xdr:row>69</xdr:row>
      <xdr:rowOff>28575</xdr:rowOff>
    </xdr:from>
    <xdr:to>
      <xdr:col>21</xdr:col>
      <xdr:colOff>351416</xdr:colOff>
      <xdr:row>76</xdr:row>
      <xdr:rowOff>198539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876F3F7A-ED8B-43D4-A88F-FB06A2A4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250" y="14700250"/>
          <a:ext cx="14010266" cy="1636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09B1-41CA-4976-B26F-D8A3C0CBF5DA}">
  <sheetPr>
    <tabColor rgb="FFFFFF00"/>
  </sheetPr>
  <dimension ref="B1:X140"/>
  <sheetViews>
    <sheetView showGridLines="0" tabSelected="1" zoomScaleNormal="100" workbookViewId="0">
      <selection activeCell="I109" sqref="I109"/>
    </sheetView>
  </sheetViews>
  <sheetFormatPr defaultRowHeight="16.5" x14ac:dyDescent="0.3"/>
  <cols>
    <col min="1" max="1" width="1" customWidth="1"/>
    <col min="5" max="5" width="13.125" bestFit="1" customWidth="1"/>
    <col min="6" max="6" width="12.5" customWidth="1"/>
    <col min="7" max="8" width="10.25" style="1" customWidth="1"/>
    <col min="9" max="9" width="13.375" style="1" customWidth="1"/>
    <col min="10" max="15" width="10.25" style="1" customWidth="1"/>
    <col min="16" max="16" width="11.625" customWidth="1"/>
    <col min="17" max="17" width="10.5" customWidth="1"/>
    <col min="18" max="18" width="12.75" bestFit="1" customWidth="1"/>
    <col min="19" max="19" width="10.875" customWidth="1"/>
    <col min="20" max="20" width="10.5" bestFit="1" customWidth="1"/>
    <col min="21" max="21" width="10.5" customWidth="1"/>
    <col min="23" max="23" width="9.5" bestFit="1" customWidth="1"/>
  </cols>
  <sheetData>
    <row r="1" spans="2:18" ht="5.0999999999999996" customHeight="1" x14ac:dyDescent="0.3"/>
    <row r="2" spans="2:18" ht="26.25" x14ac:dyDescent="0.3">
      <c r="B2" s="121" t="s">
        <v>133</v>
      </c>
    </row>
    <row r="3" spans="2:18" ht="20.25" x14ac:dyDescent="0.3">
      <c r="B3" s="85" t="s">
        <v>132</v>
      </c>
      <c r="P3" s="32" t="s">
        <v>131</v>
      </c>
      <c r="Q3" s="23"/>
      <c r="R3" s="23"/>
    </row>
    <row r="4" spans="2:18" x14ac:dyDescent="0.3">
      <c r="B4" t="s">
        <v>130</v>
      </c>
    </row>
    <row r="5" spans="2:18" x14ac:dyDescent="0.3">
      <c r="B5" t="s">
        <v>129</v>
      </c>
    </row>
    <row r="6" spans="2:18" x14ac:dyDescent="0.3">
      <c r="B6" t="s">
        <v>128</v>
      </c>
    </row>
    <row r="7" spans="2:18" ht="24.95" customHeight="1" x14ac:dyDescent="0.3">
      <c r="B7" s="120" t="s">
        <v>127</v>
      </c>
      <c r="C7" s="120"/>
      <c r="D7" s="119" t="s">
        <v>126</v>
      </c>
      <c r="E7" s="118" t="s">
        <v>125</v>
      </c>
      <c r="F7" s="117"/>
      <c r="G7" s="117"/>
      <c r="H7" s="116"/>
      <c r="I7" s="118" t="s">
        <v>124</v>
      </c>
      <c r="J7" s="117"/>
      <c r="K7" s="117"/>
      <c r="L7" s="117"/>
      <c r="M7" s="117"/>
      <c r="N7" s="116"/>
      <c r="P7" s="1"/>
    </row>
    <row r="8" spans="2:18" ht="24.95" customHeight="1" x14ac:dyDescent="0.3">
      <c r="B8" s="115" t="s">
        <v>123</v>
      </c>
      <c r="C8" s="115"/>
      <c r="D8" s="114" t="s">
        <v>122</v>
      </c>
      <c r="E8" s="113" t="s">
        <v>121</v>
      </c>
      <c r="F8" s="112"/>
      <c r="G8" s="112"/>
      <c r="H8" s="111"/>
      <c r="I8" s="110" t="s">
        <v>120</v>
      </c>
      <c r="J8" s="109"/>
      <c r="K8" s="109"/>
      <c r="L8" s="109"/>
      <c r="M8" s="109"/>
      <c r="N8" s="107"/>
      <c r="P8" s="1"/>
    </row>
    <row r="9" spans="2:18" ht="24.95" customHeight="1" x14ac:dyDescent="0.3">
      <c r="B9" s="115"/>
      <c r="C9" s="115"/>
      <c r="D9" s="114" t="s">
        <v>119</v>
      </c>
      <c r="E9" s="113" t="s">
        <v>118</v>
      </c>
      <c r="F9" s="112"/>
      <c r="G9" s="112"/>
      <c r="H9" s="111"/>
      <c r="I9" s="110" t="s">
        <v>117</v>
      </c>
      <c r="J9" s="109"/>
      <c r="K9" s="109"/>
      <c r="L9" s="109"/>
      <c r="M9" s="108"/>
      <c r="N9" s="107"/>
      <c r="P9" s="1"/>
    </row>
    <row r="10" spans="2:18" ht="5.0999999999999996" customHeight="1" x14ac:dyDescent="0.3"/>
    <row r="11" spans="2:18" ht="20.25" x14ac:dyDescent="0.3">
      <c r="B11" s="85" t="s">
        <v>116</v>
      </c>
    </row>
    <row r="12" spans="2:18" x14ac:dyDescent="0.3">
      <c r="B12" t="s">
        <v>115</v>
      </c>
    </row>
    <row r="13" spans="2:18" x14ac:dyDescent="0.3">
      <c r="B13" s="19" t="s">
        <v>114</v>
      </c>
      <c r="C13" s="19"/>
      <c r="P13" s="32" t="s">
        <v>113</v>
      </c>
      <c r="Q13" s="23"/>
      <c r="R13" s="23"/>
    </row>
    <row r="14" spans="2:18" x14ac:dyDescent="0.3">
      <c r="B14" t="s">
        <v>112</v>
      </c>
    </row>
    <row r="15" spans="2:18" x14ac:dyDescent="0.3">
      <c r="B15" t="s">
        <v>111</v>
      </c>
    </row>
    <row r="16" spans="2:18" ht="20.100000000000001" customHeight="1" x14ac:dyDescent="0.3">
      <c r="B16" s="32" t="s">
        <v>110</v>
      </c>
      <c r="C16" s="23"/>
      <c r="D16" s="23"/>
      <c r="E16" s="23"/>
      <c r="F16" s="23"/>
      <c r="G16" s="22"/>
      <c r="H16" s="22"/>
      <c r="I16" s="22"/>
      <c r="J16" s="22"/>
      <c r="K16" s="22"/>
      <c r="L16" s="22"/>
      <c r="M16" s="22"/>
      <c r="N16" s="22"/>
    </row>
    <row r="17" spans="2:19" ht="20.100000000000001" customHeight="1" x14ac:dyDescent="0.3">
      <c r="B17" s="29" t="s">
        <v>109</v>
      </c>
      <c r="C17" s="1"/>
      <c r="D17" s="1"/>
      <c r="E17" s="1"/>
      <c r="F17" s="1"/>
      <c r="P17" s="1"/>
    </row>
    <row r="18" spans="2:19" ht="20.100000000000001" customHeight="1" x14ac:dyDescent="0.3">
      <c r="B18" s="19" t="s">
        <v>108</v>
      </c>
      <c r="C18" s="1"/>
      <c r="D18" s="1"/>
      <c r="E18" s="1"/>
      <c r="F18" s="1"/>
      <c r="I18" s="106" t="s">
        <v>104</v>
      </c>
      <c r="P18" s="1"/>
    </row>
    <row r="19" spans="2:19" ht="20.100000000000001" customHeight="1" x14ac:dyDescent="0.3">
      <c r="B19" s="104" t="s">
        <v>75</v>
      </c>
      <c r="C19" s="105" t="s">
        <v>103</v>
      </c>
      <c r="D19" s="105"/>
      <c r="E19" s="104" t="s">
        <v>102</v>
      </c>
      <c r="F19" s="104" t="s">
        <v>101</v>
      </c>
      <c r="G19" s="104" t="s">
        <v>100</v>
      </c>
      <c r="H19" s="104" t="s">
        <v>99</v>
      </c>
      <c r="P19" s="1"/>
      <c r="Q19" s="1"/>
    </row>
    <row r="20" spans="2:19" ht="20.100000000000001" customHeight="1" x14ac:dyDescent="0.3">
      <c r="B20" s="100">
        <v>1</v>
      </c>
      <c r="C20" s="103" t="s">
        <v>98</v>
      </c>
      <c r="D20" s="103"/>
      <c r="E20" s="102">
        <v>4</v>
      </c>
      <c r="F20" s="100">
        <f>164*E20</f>
        <v>656</v>
      </c>
      <c r="G20" s="102">
        <v>500</v>
      </c>
      <c r="H20" s="100">
        <f>+E20*G20</f>
        <v>2000</v>
      </c>
      <c r="P20" s="1"/>
      <c r="Q20" s="1"/>
    </row>
    <row r="21" spans="2:19" ht="20.100000000000001" customHeight="1" x14ac:dyDescent="0.3">
      <c r="B21" s="100">
        <v>2</v>
      </c>
      <c r="C21" s="103" t="s">
        <v>97</v>
      </c>
      <c r="D21" s="103"/>
      <c r="E21" s="102">
        <v>1</v>
      </c>
      <c r="F21" s="100">
        <f>+E21*148</f>
        <v>148</v>
      </c>
      <c r="G21" s="101">
        <v>500</v>
      </c>
      <c r="H21" s="100">
        <f>+E21*G21</f>
        <v>500</v>
      </c>
    </row>
    <row r="22" spans="2:19" ht="20.100000000000001" customHeight="1" x14ac:dyDescent="0.3">
      <c r="B22" s="29" t="s">
        <v>96</v>
      </c>
      <c r="C22" s="1"/>
      <c r="D22" s="1"/>
      <c r="E22" s="1"/>
      <c r="F22" s="1"/>
      <c r="P22" s="32" t="s">
        <v>107</v>
      </c>
      <c r="Q22" s="23"/>
      <c r="R22" s="23"/>
      <c r="S22" s="23"/>
    </row>
    <row r="23" spans="2:19" ht="20.100000000000001" customHeight="1" x14ac:dyDescent="0.3">
      <c r="B23" s="98" t="s">
        <v>41</v>
      </c>
      <c r="C23" s="99" t="s">
        <v>40</v>
      </c>
      <c r="D23" s="99"/>
      <c r="E23" s="98" t="s">
        <v>39</v>
      </c>
      <c r="F23" s="98" t="s">
        <v>38</v>
      </c>
      <c r="G23" s="97" t="s">
        <v>95</v>
      </c>
      <c r="H23" s="97" t="s">
        <v>94</v>
      </c>
    </row>
    <row r="24" spans="2:19" ht="20.100000000000001" customHeight="1" x14ac:dyDescent="0.3">
      <c r="B24" s="95" t="s">
        <v>36</v>
      </c>
      <c r="C24" s="96" t="s">
        <v>92</v>
      </c>
      <c r="D24" s="96"/>
      <c r="E24" s="95">
        <v>1480</v>
      </c>
      <c r="F24" s="95">
        <v>500</v>
      </c>
      <c r="G24" s="93">
        <f>+E24-F20-F21</f>
        <v>676</v>
      </c>
      <c r="H24" s="93">
        <v>100</v>
      </c>
    </row>
    <row r="25" spans="2:19" ht="20.100000000000001" customHeight="1" x14ac:dyDescent="0.3">
      <c r="B25" s="1"/>
      <c r="C25" s="1"/>
      <c r="D25" s="1"/>
      <c r="E25" s="1"/>
      <c r="F25" s="1"/>
    </row>
    <row r="26" spans="2:19" ht="20.100000000000001" customHeight="1" x14ac:dyDescent="0.3">
      <c r="B26" s="19" t="s">
        <v>91</v>
      </c>
      <c r="C26" s="1"/>
      <c r="D26" s="1"/>
      <c r="E26" s="1"/>
      <c r="F26" s="1"/>
      <c r="G26" s="21"/>
      <c r="H26" s="21"/>
    </row>
    <row r="27" spans="2:19" ht="20.100000000000001" customHeight="1" x14ac:dyDescent="0.3">
      <c r="B27" s="92" t="s">
        <v>41</v>
      </c>
      <c r="C27" s="91" t="s">
        <v>40</v>
      </c>
      <c r="D27" s="90"/>
      <c r="E27" s="88" t="s">
        <v>39</v>
      </c>
      <c r="F27" s="88" t="s">
        <v>38</v>
      </c>
      <c r="G27" s="21"/>
      <c r="H27" s="88" t="s">
        <v>41</v>
      </c>
      <c r="I27" s="89" t="s">
        <v>40</v>
      </c>
      <c r="J27" s="89"/>
      <c r="K27" s="88" t="s">
        <v>39</v>
      </c>
      <c r="L27" s="88" t="s">
        <v>38</v>
      </c>
    </row>
    <row r="28" spans="2:19" ht="20.100000000000001" customHeight="1" x14ac:dyDescent="0.3">
      <c r="B28" s="87" t="s">
        <v>36</v>
      </c>
      <c r="C28" s="31" t="s">
        <v>89</v>
      </c>
      <c r="D28" s="30"/>
      <c r="E28" s="7">
        <v>1480</v>
      </c>
      <c r="F28" s="7">
        <v>500</v>
      </c>
      <c r="G28" s="21"/>
      <c r="H28" s="7" t="s">
        <v>36</v>
      </c>
      <c r="I28" s="86" t="s">
        <v>106</v>
      </c>
      <c r="J28" s="86"/>
      <c r="K28" s="7">
        <v>676</v>
      </c>
      <c r="L28" s="7">
        <v>500</v>
      </c>
    </row>
    <row r="29" spans="2:19" ht="20.100000000000001" customHeight="1" x14ac:dyDescent="0.3">
      <c r="B29" s="1"/>
      <c r="C29" s="1"/>
      <c r="D29" s="1"/>
      <c r="E29" s="1"/>
      <c r="F29" s="1"/>
    </row>
    <row r="30" spans="2:19" ht="20.100000000000001" customHeight="1" x14ac:dyDescent="0.3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2:19" ht="20.100000000000001" customHeight="1" x14ac:dyDescent="0.3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2:19" ht="20.100000000000001" customHeight="1" x14ac:dyDescent="0.3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N32" s="20"/>
    </row>
    <row r="33" spans="2:16" x14ac:dyDescent="0.3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2:16" x14ac:dyDescent="0.3">
      <c r="B34" s="19" t="s">
        <v>105</v>
      </c>
      <c r="C34" s="1"/>
      <c r="D34" s="1"/>
      <c r="E34" s="1"/>
      <c r="F34" s="1"/>
      <c r="I34" s="106" t="s">
        <v>104</v>
      </c>
    </row>
    <row r="35" spans="2:16" x14ac:dyDescent="0.3">
      <c r="B35" s="104" t="s">
        <v>75</v>
      </c>
      <c r="C35" s="105" t="s">
        <v>103</v>
      </c>
      <c r="D35" s="105"/>
      <c r="E35" s="104" t="s">
        <v>102</v>
      </c>
      <c r="F35" s="104" t="s">
        <v>101</v>
      </c>
      <c r="G35" s="104" t="s">
        <v>100</v>
      </c>
      <c r="H35" s="104" t="s">
        <v>99</v>
      </c>
    </row>
    <row r="36" spans="2:16" x14ac:dyDescent="0.3">
      <c r="B36" s="100">
        <v>1</v>
      </c>
      <c r="C36" s="103" t="s">
        <v>98</v>
      </c>
      <c r="D36" s="103"/>
      <c r="E36" s="102">
        <v>8</v>
      </c>
      <c r="F36" s="100">
        <f>164*E36</f>
        <v>1312</v>
      </c>
      <c r="G36" s="102">
        <v>500</v>
      </c>
      <c r="H36" s="100">
        <f>+E36*G36</f>
        <v>4000</v>
      </c>
    </row>
    <row r="37" spans="2:16" x14ac:dyDescent="0.3">
      <c r="B37" s="100">
        <v>2</v>
      </c>
      <c r="C37" s="103" t="s">
        <v>97</v>
      </c>
      <c r="D37" s="103"/>
      <c r="E37" s="102">
        <v>1</v>
      </c>
      <c r="F37" s="100">
        <f>+E37*148</f>
        <v>148</v>
      </c>
      <c r="G37" s="101">
        <v>500</v>
      </c>
      <c r="H37" s="100">
        <f>+E37*G37</f>
        <v>500</v>
      </c>
    </row>
    <row r="38" spans="2:16" x14ac:dyDescent="0.3">
      <c r="B38" s="29" t="s">
        <v>96</v>
      </c>
      <c r="C38" s="1"/>
      <c r="D38" s="1"/>
      <c r="E38" s="1"/>
      <c r="F38" s="1"/>
    </row>
    <row r="39" spans="2:16" x14ac:dyDescent="0.3">
      <c r="B39" s="98" t="s">
        <v>41</v>
      </c>
      <c r="C39" s="99" t="s">
        <v>40</v>
      </c>
      <c r="D39" s="99"/>
      <c r="E39" s="98" t="s">
        <v>39</v>
      </c>
      <c r="F39" s="98" t="s">
        <v>38</v>
      </c>
      <c r="G39" s="97" t="s">
        <v>95</v>
      </c>
      <c r="H39" s="97" t="s">
        <v>94</v>
      </c>
      <c r="I39" s="97" t="s">
        <v>93</v>
      </c>
    </row>
    <row r="40" spans="2:16" x14ac:dyDescent="0.3">
      <c r="B40" s="95" t="s">
        <v>36</v>
      </c>
      <c r="C40" s="96" t="s">
        <v>92</v>
      </c>
      <c r="D40" s="96"/>
      <c r="E40" s="95">
        <v>1480</v>
      </c>
      <c r="F40" s="94">
        <v>500</v>
      </c>
      <c r="G40" s="93">
        <f>+E40-F36-F37</f>
        <v>20</v>
      </c>
      <c r="H40" s="93">
        <v>100</v>
      </c>
      <c r="I40" s="93">
        <v>100</v>
      </c>
    </row>
    <row r="41" spans="2:16" x14ac:dyDescent="0.3">
      <c r="B41" s="1"/>
      <c r="C41" s="1"/>
      <c r="D41" s="1"/>
      <c r="E41" s="1"/>
      <c r="F41" s="1"/>
    </row>
    <row r="42" spans="2:16" x14ac:dyDescent="0.3">
      <c r="B42" s="19" t="s">
        <v>91</v>
      </c>
      <c r="C42" s="1"/>
      <c r="D42" s="1"/>
      <c r="E42" s="1"/>
      <c r="F42" s="1"/>
      <c r="G42" s="21"/>
      <c r="H42" s="21"/>
    </row>
    <row r="43" spans="2:16" ht="16.5" customHeight="1" x14ac:dyDescent="0.3">
      <c r="B43" s="92" t="s">
        <v>41</v>
      </c>
      <c r="C43" s="91" t="s">
        <v>40</v>
      </c>
      <c r="D43" s="90"/>
      <c r="E43" s="88" t="s">
        <v>39</v>
      </c>
      <c r="F43" s="88" t="s">
        <v>38</v>
      </c>
      <c r="G43" s="21"/>
      <c r="H43" s="88" t="s">
        <v>41</v>
      </c>
      <c r="I43" s="89" t="s">
        <v>40</v>
      </c>
      <c r="J43" s="89"/>
      <c r="K43" s="88" t="s">
        <v>39</v>
      </c>
      <c r="L43" s="88" t="s">
        <v>38</v>
      </c>
      <c r="P43" t="s">
        <v>90</v>
      </c>
    </row>
    <row r="44" spans="2:16" ht="16.5" customHeight="1" x14ac:dyDescent="0.3">
      <c r="B44" s="87" t="s">
        <v>36</v>
      </c>
      <c r="C44" s="31" t="s">
        <v>89</v>
      </c>
      <c r="D44" s="30"/>
      <c r="E44" s="7">
        <v>1480</v>
      </c>
      <c r="F44" s="7">
        <v>500</v>
      </c>
      <c r="G44" s="21"/>
      <c r="H44" s="7" t="s">
        <v>36</v>
      </c>
      <c r="I44" s="86"/>
      <c r="J44" s="86"/>
      <c r="K44" s="7">
        <f>+G40</f>
        <v>20</v>
      </c>
      <c r="L44" s="7">
        <v>500</v>
      </c>
      <c r="P44" t="s">
        <v>88</v>
      </c>
    </row>
    <row r="45" spans="2:16" ht="16.5" customHeight="1" x14ac:dyDescent="0.3">
      <c r="P45" t="s">
        <v>87</v>
      </c>
    </row>
    <row r="46" spans="2:16" ht="16.5" customHeight="1" x14ac:dyDescent="0.3">
      <c r="C46" s="1"/>
      <c r="D46" s="1"/>
      <c r="E46" s="1"/>
      <c r="F46" s="1"/>
    </row>
    <row r="47" spans="2:16" x14ac:dyDescent="0.3">
      <c r="C47" s="1"/>
      <c r="D47" s="1"/>
      <c r="E47" s="1"/>
      <c r="F47" s="1"/>
    </row>
    <row r="48" spans="2:16" x14ac:dyDescent="0.3">
      <c r="C48" s="1"/>
      <c r="D48" s="1"/>
      <c r="E48" s="1"/>
      <c r="F48" s="1"/>
    </row>
    <row r="49" spans="2:21" x14ac:dyDescent="0.3">
      <c r="B49" s="1"/>
      <c r="C49" s="1"/>
      <c r="D49" s="1"/>
      <c r="E49" s="1"/>
      <c r="F49" s="1"/>
    </row>
    <row r="50" spans="2:21" x14ac:dyDescent="0.3">
      <c r="C50" s="1"/>
      <c r="D50" s="1"/>
      <c r="E50" s="1"/>
      <c r="F50" s="1"/>
    </row>
    <row r="51" spans="2:21" x14ac:dyDescent="0.3">
      <c r="B51" t="s">
        <v>86</v>
      </c>
      <c r="C51" s="1"/>
      <c r="D51" s="1"/>
      <c r="E51" s="1"/>
      <c r="F51" s="1"/>
    </row>
    <row r="52" spans="2:21" x14ac:dyDescent="0.3">
      <c r="B52" t="s">
        <v>85</v>
      </c>
      <c r="C52" s="1"/>
      <c r="D52" s="1"/>
      <c r="E52" s="1"/>
      <c r="F52" s="1"/>
    </row>
    <row r="53" spans="2:21" x14ac:dyDescent="0.3">
      <c r="C53" s="1"/>
      <c r="D53" s="1"/>
      <c r="E53" s="1"/>
      <c r="F53" s="1"/>
    </row>
    <row r="54" spans="2:21" x14ac:dyDescent="0.3">
      <c r="B54" s="19" t="s">
        <v>84</v>
      </c>
      <c r="C54" s="1"/>
      <c r="D54" s="1"/>
      <c r="E54" s="1"/>
      <c r="F54" s="1"/>
    </row>
    <row r="55" spans="2:21" x14ac:dyDescent="0.3">
      <c r="B55" t="s">
        <v>83</v>
      </c>
      <c r="C55" s="1"/>
      <c r="D55" s="1"/>
      <c r="E55" s="1"/>
      <c r="F55" s="1"/>
    </row>
    <row r="56" spans="2:21" x14ac:dyDescent="0.3">
      <c r="B56" t="s">
        <v>82</v>
      </c>
      <c r="C56" s="1"/>
      <c r="D56" s="1"/>
      <c r="E56" s="1"/>
      <c r="F56" s="1"/>
    </row>
    <row r="57" spans="2:21" x14ac:dyDescent="0.3">
      <c r="B57" t="s">
        <v>81</v>
      </c>
      <c r="C57" s="1"/>
      <c r="D57" s="1"/>
      <c r="E57" s="1"/>
      <c r="F57" s="1"/>
    </row>
    <row r="58" spans="2:21" x14ac:dyDescent="0.3">
      <c r="B58" t="s">
        <v>80</v>
      </c>
      <c r="C58" s="1"/>
      <c r="D58" s="1"/>
      <c r="E58" s="1"/>
      <c r="F58" s="1"/>
    </row>
    <row r="59" spans="2:21" ht="16.5" customHeight="1" x14ac:dyDescent="0.3">
      <c r="B59" s="1"/>
      <c r="C59" s="1"/>
      <c r="D59" s="1"/>
      <c r="E59" s="1"/>
      <c r="F59" s="1"/>
      <c r="P59" s="1"/>
      <c r="Q59" s="1"/>
      <c r="R59" s="1"/>
      <c r="S59" s="1"/>
      <c r="T59" s="1"/>
      <c r="U59" s="1"/>
    </row>
    <row r="60" spans="2:21" x14ac:dyDescent="0.3">
      <c r="C60" s="1"/>
      <c r="D60" s="1"/>
      <c r="E60" s="1"/>
      <c r="F60" s="1"/>
    </row>
    <row r="61" spans="2:21" ht="20.25" x14ac:dyDescent="0.3">
      <c r="B61" s="85" t="s">
        <v>79</v>
      </c>
    </row>
    <row r="62" spans="2:21" x14ac:dyDescent="0.3">
      <c r="B62" s="84" t="s">
        <v>78</v>
      </c>
      <c r="L62" s="53" t="s">
        <v>77</v>
      </c>
    </row>
    <row r="63" spans="2:21" x14ac:dyDescent="0.3">
      <c r="B63" s="28" t="s">
        <v>76</v>
      </c>
      <c r="L63" s="83" t="s">
        <v>75</v>
      </c>
      <c r="M63" s="82" t="s">
        <v>74</v>
      </c>
      <c r="N63" s="82"/>
      <c r="O63" s="82"/>
      <c r="P63" s="82"/>
      <c r="Q63" s="81" t="s">
        <v>73</v>
      </c>
      <c r="R63" s="80"/>
      <c r="S63" s="80"/>
      <c r="T63" s="80"/>
      <c r="U63" s="33"/>
    </row>
    <row r="64" spans="2:21" x14ac:dyDescent="0.3">
      <c r="B64" s="28" t="s">
        <v>72</v>
      </c>
      <c r="L64" s="71">
        <v>1</v>
      </c>
      <c r="M64" s="79" t="s">
        <v>71</v>
      </c>
      <c r="N64" s="62"/>
      <c r="O64" s="62"/>
      <c r="P64" s="62"/>
      <c r="Q64" s="78" t="s">
        <v>70</v>
      </c>
      <c r="R64" s="78"/>
      <c r="S64" s="78"/>
      <c r="T64" s="78"/>
      <c r="U64" s="77"/>
    </row>
    <row r="65" spans="2:21" x14ac:dyDescent="0.3">
      <c r="B65" s="28" t="s">
        <v>69</v>
      </c>
      <c r="L65" s="71"/>
      <c r="M65" s="62"/>
      <c r="N65" s="62"/>
      <c r="O65" s="62"/>
      <c r="P65" s="62"/>
      <c r="Q65" s="76" t="s">
        <v>68</v>
      </c>
      <c r="R65" s="76"/>
      <c r="S65" s="76"/>
      <c r="T65" s="76"/>
      <c r="U65" s="75"/>
    </row>
    <row r="66" spans="2:21" x14ac:dyDescent="0.3">
      <c r="B66" s="74" t="s">
        <v>67</v>
      </c>
      <c r="C66" s="73"/>
      <c r="D66" s="73" t="s">
        <v>66</v>
      </c>
      <c r="E66" s="73"/>
      <c r="F66" s="73"/>
      <c r="G66" s="73"/>
      <c r="H66" s="73"/>
      <c r="I66" s="72"/>
      <c r="L66" s="71"/>
      <c r="M66" s="62"/>
      <c r="N66" s="62"/>
      <c r="O66" s="62"/>
      <c r="P66" s="62"/>
      <c r="Q66" s="70" t="s">
        <v>65</v>
      </c>
      <c r="R66" s="70"/>
      <c r="S66" s="70"/>
      <c r="T66" s="70"/>
      <c r="U66" s="69"/>
    </row>
    <row r="67" spans="2:21" x14ac:dyDescent="0.3">
      <c r="B67" s="68" t="s">
        <v>64</v>
      </c>
      <c r="C67" s="67" t="s">
        <v>63</v>
      </c>
      <c r="D67" s="67" t="s">
        <v>62</v>
      </c>
      <c r="E67" s="67" t="s">
        <v>61</v>
      </c>
      <c r="F67" s="67" t="s">
        <v>60</v>
      </c>
      <c r="G67" s="67" t="s">
        <v>38</v>
      </c>
      <c r="H67" s="67" t="s">
        <v>59</v>
      </c>
      <c r="I67" s="66" t="s">
        <v>58</v>
      </c>
      <c r="L67" s="49">
        <v>2</v>
      </c>
      <c r="M67" s="48" t="s">
        <v>57</v>
      </c>
      <c r="N67" s="48"/>
      <c r="O67" s="48"/>
      <c r="P67" s="48"/>
      <c r="Q67" s="65" t="s">
        <v>56</v>
      </c>
      <c r="R67" s="65"/>
      <c r="S67" s="65"/>
      <c r="T67" s="65"/>
      <c r="U67" s="64"/>
    </row>
    <row r="68" spans="2:21" x14ac:dyDescent="0.3">
      <c r="B68" s="63">
        <v>1050</v>
      </c>
      <c r="C68" s="7">
        <v>2000</v>
      </c>
      <c r="D68" s="7" t="s">
        <v>55</v>
      </c>
      <c r="E68" s="7">
        <v>170</v>
      </c>
      <c r="F68" s="51">
        <f>+E68/$B$68</f>
        <v>0.16190476190476191</v>
      </c>
      <c r="G68" s="7">
        <v>500</v>
      </c>
      <c r="H68" s="7">
        <v>4</v>
      </c>
      <c r="I68" s="50">
        <f>F68*4*G68</f>
        <v>323.80952380952385</v>
      </c>
      <c r="L68" s="49"/>
      <c r="M68" s="48"/>
      <c r="N68" s="48"/>
      <c r="O68" s="48"/>
      <c r="P68" s="62"/>
      <c r="Q68" s="59" t="s">
        <v>54</v>
      </c>
      <c r="R68" s="59"/>
      <c r="S68" s="59"/>
      <c r="T68" s="59"/>
      <c r="U68" s="58"/>
    </row>
    <row r="69" spans="2:21" x14ac:dyDescent="0.3">
      <c r="B69" s="61"/>
      <c r="C69" s="60"/>
      <c r="D69" s="7" t="s">
        <v>53</v>
      </c>
      <c r="E69" s="7">
        <v>180</v>
      </c>
      <c r="F69" s="51">
        <f>+E69/$B$68</f>
        <v>0.17142857142857143</v>
      </c>
      <c r="G69" s="7">
        <v>500</v>
      </c>
      <c r="H69" s="7">
        <v>2</v>
      </c>
      <c r="I69" s="50">
        <f>F69*2*G69</f>
        <v>171.42857142857142</v>
      </c>
      <c r="L69" s="49"/>
      <c r="M69" s="48"/>
      <c r="N69" s="48"/>
      <c r="O69" s="48"/>
      <c r="P69" s="48"/>
      <c r="Q69" s="59" t="s">
        <v>52</v>
      </c>
      <c r="R69" s="59"/>
      <c r="S69" s="59"/>
      <c r="T69" s="59"/>
      <c r="U69" s="58"/>
    </row>
    <row r="70" spans="2:21" x14ac:dyDescent="0.3">
      <c r="B70" s="43"/>
      <c r="C70" s="42"/>
      <c r="D70" s="7" t="s">
        <v>51</v>
      </c>
      <c r="E70" s="7">
        <v>160</v>
      </c>
      <c r="F70" s="51">
        <f>+E70/$B$68</f>
        <v>0.15238095238095239</v>
      </c>
      <c r="G70" s="7">
        <v>1000</v>
      </c>
      <c r="H70" s="7">
        <v>4</v>
      </c>
      <c r="I70" s="50">
        <f>F70*H70*G70</f>
        <v>609.52380952380963</v>
      </c>
      <c r="L70" s="49">
        <v>3</v>
      </c>
      <c r="M70" s="48" t="s">
        <v>50</v>
      </c>
      <c r="N70" s="48"/>
      <c r="O70" s="48"/>
      <c r="P70" s="47"/>
      <c r="Q70" s="57" t="s">
        <v>49</v>
      </c>
      <c r="R70" s="56"/>
      <c r="S70" s="56"/>
      <c r="T70" s="56"/>
      <c r="U70" s="55"/>
    </row>
    <row r="71" spans="2:21" x14ac:dyDescent="0.3">
      <c r="B71" s="43"/>
      <c r="C71" s="42"/>
      <c r="D71" s="7" t="s">
        <v>48</v>
      </c>
      <c r="E71" s="7">
        <v>180</v>
      </c>
      <c r="F71" s="51">
        <f>+E71/$B$68</f>
        <v>0.17142857142857143</v>
      </c>
      <c r="G71" s="7">
        <v>1000</v>
      </c>
      <c r="H71" s="7">
        <v>2</v>
      </c>
      <c r="I71" s="50">
        <f>F71*H71*G71</f>
        <v>342.85714285714283</v>
      </c>
      <c r="L71" s="49"/>
      <c r="M71" s="48"/>
      <c r="N71" s="48"/>
      <c r="O71" s="48"/>
      <c r="P71" s="47"/>
      <c r="Q71" s="54" t="s">
        <v>47</v>
      </c>
      <c r="R71" s="53"/>
      <c r="S71" s="53"/>
      <c r="T71" s="53"/>
      <c r="U71" s="52"/>
    </row>
    <row r="72" spans="2:21" x14ac:dyDescent="0.3">
      <c r="B72" s="43"/>
      <c r="C72" s="42"/>
      <c r="D72" s="7" t="s">
        <v>46</v>
      </c>
      <c r="E72" s="7">
        <v>155</v>
      </c>
      <c r="F72" s="51">
        <f>+E72/$B$68</f>
        <v>0.14761904761904762</v>
      </c>
      <c r="G72" s="7">
        <v>500</v>
      </c>
      <c r="H72" s="7">
        <v>6</v>
      </c>
      <c r="I72" s="50">
        <f>F72*H72*G72</f>
        <v>442.85714285714283</v>
      </c>
      <c r="L72" s="49"/>
      <c r="M72" s="48"/>
      <c r="N72" s="48"/>
      <c r="O72" s="48"/>
      <c r="P72" s="47"/>
      <c r="Q72" s="46" t="s">
        <v>45</v>
      </c>
      <c r="R72" s="45"/>
      <c r="S72" s="45"/>
      <c r="T72" s="45"/>
      <c r="U72" s="44"/>
    </row>
    <row r="73" spans="2:21" x14ac:dyDescent="0.3">
      <c r="B73" s="43"/>
      <c r="C73" s="42"/>
      <c r="D73" s="41" t="s">
        <v>44</v>
      </c>
      <c r="E73" s="41"/>
      <c r="F73" s="41"/>
      <c r="G73" s="41"/>
      <c r="H73" s="41"/>
      <c r="I73" s="40">
        <f>SUM(I68:I72)</f>
        <v>1890.4761904761908</v>
      </c>
      <c r="P73" s="1"/>
      <c r="Q73" s="1"/>
      <c r="R73" s="1"/>
      <c r="S73" s="1"/>
      <c r="T73" s="1"/>
      <c r="U73" s="1"/>
    </row>
    <row r="74" spans="2:21" x14ac:dyDescent="0.3">
      <c r="B74" s="39"/>
      <c r="C74" s="38"/>
      <c r="D74" s="37" t="s">
        <v>43</v>
      </c>
      <c r="E74" s="37"/>
      <c r="F74" s="37"/>
      <c r="G74" s="37"/>
      <c r="H74" s="37"/>
      <c r="I74" s="36">
        <f>+C68-I73</f>
        <v>109.52380952380918</v>
      </c>
      <c r="L74" s="29" t="s">
        <v>42</v>
      </c>
      <c r="M74" s="35"/>
      <c r="N74" s="35"/>
      <c r="O74" s="35"/>
      <c r="P74" s="1"/>
      <c r="Q74" s="1"/>
      <c r="R74" s="1"/>
      <c r="S74" s="1"/>
      <c r="T74" s="1"/>
      <c r="U74" s="1"/>
    </row>
    <row r="75" spans="2:21" x14ac:dyDescent="0.3">
      <c r="B75" s="1"/>
      <c r="C75" s="1"/>
      <c r="D75" s="1"/>
      <c r="E75" s="1"/>
      <c r="F75" s="1"/>
      <c r="P75" s="1"/>
    </row>
    <row r="76" spans="2:21" x14ac:dyDescent="0.3">
      <c r="B76" s="27" t="s">
        <v>41</v>
      </c>
      <c r="C76" s="34" t="s">
        <v>40</v>
      </c>
      <c r="D76" s="33"/>
      <c r="E76" s="27" t="s">
        <v>39</v>
      </c>
      <c r="F76" s="27" t="s">
        <v>38</v>
      </c>
      <c r="J76" s="29"/>
      <c r="L76" s="32" t="s">
        <v>37</v>
      </c>
      <c r="M76" s="22"/>
      <c r="N76" s="22"/>
      <c r="P76" s="1"/>
    </row>
    <row r="77" spans="2:21" x14ac:dyDescent="0.3">
      <c r="B77" s="7" t="s">
        <v>36</v>
      </c>
      <c r="C77" s="31" t="s">
        <v>35</v>
      </c>
      <c r="D77" s="30"/>
      <c r="E77" s="7">
        <v>1050</v>
      </c>
      <c r="F77" s="7">
        <v>109.52379999999999</v>
      </c>
      <c r="G77" s="29" t="s">
        <v>34</v>
      </c>
      <c r="J77" s="29"/>
      <c r="P77" s="1"/>
    </row>
    <row r="78" spans="2:21" x14ac:dyDescent="0.3">
      <c r="B78" s="1"/>
      <c r="C78" s="1"/>
      <c r="D78" s="1"/>
      <c r="E78" s="1"/>
      <c r="F78" s="1"/>
      <c r="J78" s="29"/>
      <c r="P78" s="1"/>
    </row>
    <row r="79" spans="2:21" x14ac:dyDescent="0.3">
      <c r="B79" s="28" t="s">
        <v>33</v>
      </c>
      <c r="C79" s="1"/>
      <c r="D79" s="1"/>
      <c r="E79" s="1"/>
      <c r="F79" s="1"/>
      <c r="P79" s="1"/>
    </row>
    <row r="80" spans="2:21" x14ac:dyDescent="0.3">
      <c r="B80" s="27" t="s">
        <v>32</v>
      </c>
      <c r="C80" s="27" t="s">
        <v>31</v>
      </c>
      <c r="D80" s="27" t="s">
        <v>30</v>
      </c>
      <c r="E80" s="27" t="s">
        <v>29</v>
      </c>
      <c r="F80" s="27" t="s">
        <v>28</v>
      </c>
    </row>
    <row r="81" spans="2:16" x14ac:dyDescent="0.3">
      <c r="B81" s="7">
        <v>1050</v>
      </c>
      <c r="C81" s="7">
        <v>170</v>
      </c>
      <c r="D81" s="7">
        <f>+C81/B81</f>
        <v>0.16190476190476191</v>
      </c>
      <c r="E81" s="26">
        <f>+B81/C81</f>
        <v>6.1764705882352944</v>
      </c>
      <c r="F81" s="26">
        <f>+E81-6</f>
        <v>0.17647058823529438</v>
      </c>
      <c r="N81"/>
      <c r="O81"/>
    </row>
    <row r="82" spans="2:16" x14ac:dyDescent="0.3">
      <c r="B82" s="7">
        <v>1050</v>
      </c>
      <c r="C82" s="7">
        <v>200</v>
      </c>
      <c r="D82" s="7">
        <f>+C82/B82</f>
        <v>0.19047619047619047</v>
      </c>
      <c r="E82" s="26">
        <f>+B82/C82</f>
        <v>5.25</v>
      </c>
      <c r="F82" s="26">
        <f>+E82-5</f>
        <v>0.25</v>
      </c>
      <c r="N82"/>
      <c r="O82"/>
    </row>
    <row r="83" spans="2:16" x14ac:dyDescent="0.3">
      <c r="B83" s="7">
        <v>1050</v>
      </c>
      <c r="C83" s="7">
        <v>180</v>
      </c>
      <c r="D83" s="7">
        <f>+C83/B83</f>
        <v>0.17142857142857143</v>
      </c>
      <c r="E83" s="26">
        <f>+B83/C83</f>
        <v>5.833333333333333</v>
      </c>
      <c r="F83" s="26">
        <f>+E83-5</f>
        <v>0.83333333333333304</v>
      </c>
      <c r="N83"/>
      <c r="O83"/>
    </row>
    <row r="84" spans="2:16" x14ac:dyDescent="0.3">
      <c r="B84" s="7">
        <v>1050</v>
      </c>
      <c r="C84" s="7">
        <v>160</v>
      </c>
      <c r="D84" s="7">
        <f>+C84/B84</f>
        <v>0.15238095238095239</v>
      </c>
      <c r="E84" s="26">
        <f>+B84/C84</f>
        <v>6.5625</v>
      </c>
      <c r="F84" s="26">
        <f>+E84-6</f>
        <v>0.5625</v>
      </c>
      <c r="N84"/>
      <c r="O84" s="25"/>
    </row>
    <row r="85" spans="2:16" x14ac:dyDescent="0.3">
      <c r="P85" s="1"/>
    </row>
    <row r="86" spans="2:16" x14ac:dyDescent="0.3">
      <c r="P86" s="1"/>
    </row>
    <row r="87" spans="2:16" x14ac:dyDescent="0.3">
      <c r="P87" s="1"/>
    </row>
    <row r="88" spans="2:16" x14ac:dyDescent="0.3">
      <c r="P88" s="1"/>
    </row>
    <row r="89" spans="2:16" x14ac:dyDescent="0.3">
      <c r="P89" s="1"/>
    </row>
    <row r="90" spans="2:16" x14ac:dyDescent="0.3">
      <c r="P90" s="1"/>
    </row>
    <row r="91" spans="2:16" x14ac:dyDescent="0.3">
      <c r="P91" s="1"/>
    </row>
    <row r="92" spans="2:16" ht="15.75" customHeight="1" x14ac:dyDescent="0.3">
      <c r="P92" s="1"/>
    </row>
    <row r="93" spans="2:16" ht="20.25" x14ac:dyDescent="0.3">
      <c r="B93" s="24" t="s">
        <v>27</v>
      </c>
      <c r="C93" s="23"/>
      <c r="D93" s="23"/>
      <c r="E93" s="23"/>
      <c r="F93" s="23"/>
      <c r="G93" s="22"/>
      <c r="P93" s="1"/>
    </row>
    <row r="94" spans="2:16" x14ac:dyDescent="0.3">
      <c r="B94" s="19" t="s">
        <v>26</v>
      </c>
      <c r="P94" s="1"/>
    </row>
    <row r="95" spans="2:16" x14ac:dyDescent="0.3">
      <c r="B95" s="19" t="s">
        <v>25</v>
      </c>
    </row>
    <row r="96" spans="2:16" x14ac:dyDescent="0.3">
      <c r="B96" s="19" t="s">
        <v>24</v>
      </c>
    </row>
    <row r="97" spans="2:24" x14ac:dyDescent="0.3">
      <c r="B97" s="20" t="s">
        <v>23</v>
      </c>
      <c r="C97" s="21"/>
    </row>
    <row r="98" spans="2:24" x14ac:dyDescent="0.3">
      <c r="B98" s="20" t="s">
        <v>22</v>
      </c>
    </row>
    <row r="99" spans="2:24" x14ac:dyDescent="0.3">
      <c r="B99" s="19" t="s">
        <v>21</v>
      </c>
    </row>
    <row r="105" spans="2:24" ht="22.5" customHeight="1" x14ac:dyDescent="0.3"/>
    <row r="106" spans="2:24" ht="22.5" customHeight="1" x14ac:dyDescent="0.3"/>
    <row r="109" spans="2:24" x14ac:dyDescent="0.3">
      <c r="B109" s="19" t="s">
        <v>20</v>
      </c>
    </row>
    <row r="110" spans="2:24" x14ac:dyDescent="0.3">
      <c r="B110" s="14" t="s">
        <v>19</v>
      </c>
      <c r="C110" s="14"/>
      <c r="D110" s="17" t="s">
        <v>18</v>
      </c>
      <c r="E110" s="18"/>
      <c r="F110" s="16"/>
      <c r="G110" s="17" t="s">
        <v>17</v>
      </c>
      <c r="H110" s="16"/>
      <c r="I110" s="15" t="s">
        <v>16</v>
      </c>
      <c r="J110" s="15" t="s">
        <v>15</v>
      </c>
      <c r="K110" s="15" t="s">
        <v>14</v>
      </c>
      <c r="L110" s="15" t="s">
        <v>13</v>
      </c>
      <c r="M110" s="15" t="s">
        <v>12</v>
      </c>
      <c r="N110" s="15" t="s">
        <v>11</v>
      </c>
      <c r="O110" s="15" t="s">
        <v>10</v>
      </c>
      <c r="P110" s="15" t="s">
        <v>9</v>
      </c>
      <c r="Q110" s="15" t="s">
        <v>8</v>
      </c>
      <c r="R110" s="14" t="s">
        <v>7</v>
      </c>
      <c r="S110" s="14"/>
      <c r="T110" s="14"/>
      <c r="U110" s="14"/>
      <c r="V110" s="14" t="s">
        <v>6</v>
      </c>
      <c r="W110" s="14"/>
      <c r="X110" s="14"/>
    </row>
    <row r="111" spans="2:24" x14ac:dyDescent="0.3">
      <c r="B111" s="13" t="s">
        <v>5</v>
      </c>
      <c r="C111" s="13"/>
      <c r="D111" s="11" t="s">
        <v>4</v>
      </c>
      <c r="E111" s="12"/>
      <c r="F111" s="10"/>
      <c r="G111" s="11" t="s">
        <v>3</v>
      </c>
      <c r="H111" s="10"/>
      <c r="I111" s="7" t="s">
        <v>2</v>
      </c>
      <c r="J111" s="7">
        <v>1050</v>
      </c>
      <c r="K111" s="7">
        <v>1000</v>
      </c>
      <c r="L111" s="9">
        <v>50</v>
      </c>
      <c r="M111" s="8">
        <v>1000</v>
      </c>
      <c r="N111" s="7">
        <f>+L111/1000*M111</f>
        <v>50</v>
      </c>
      <c r="O111" s="6">
        <v>25000</v>
      </c>
      <c r="P111" s="5">
        <f>+N111*O111</f>
        <v>1250000</v>
      </c>
      <c r="Q111" s="4" t="s">
        <v>1</v>
      </c>
      <c r="R111" s="2" t="s">
        <v>0</v>
      </c>
      <c r="S111" s="2"/>
      <c r="T111" s="2"/>
      <c r="U111" s="2"/>
      <c r="V111" s="3">
        <v>45052.710416666669</v>
      </c>
      <c r="W111" s="2"/>
      <c r="X111" s="2"/>
    </row>
    <row r="112" spans="2:24" x14ac:dyDescent="0.3">
      <c r="D112" s="1"/>
      <c r="E112" s="1"/>
      <c r="F112" s="1"/>
    </row>
    <row r="114" spans="5:11" x14ac:dyDescent="0.3">
      <c r="G114"/>
      <c r="H114"/>
      <c r="I114"/>
      <c r="J114"/>
      <c r="K114"/>
    </row>
    <row r="115" spans="5:11" x14ac:dyDescent="0.3">
      <c r="G115"/>
      <c r="H115"/>
      <c r="I115"/>
      <c r="J115"/>
      <c r="K115"/>
    </row>
    <row r="116" spans="5:11" x14ac:dyDescent="0.3">
      <c r="G116"/>
      <c r="H116"/>
      <c r="I116"/>
      <c r="J116"/>
      <c r="K116"/>
    </row>
    <row r="117" spans="5:11" x14ac:dyDescent="0.3">
      <c r="G117"/>
      <c r="H117"/>
      <c r="I117"/>
      <c r="J117"/>
      <c r="K117"/>
    </row>
    <row r="118" spans="5:11" x14ac:dyDescent="0.3">
      <c r="G118"/>
      <c r="H118"/>
      <c r="I118"/>
      <c r="J118"/>
      <c r="K118"/>
    </row>
    <row r="119" spans="5:11" x14ac:dyDescent="0.3">
      <c r="G119"/>
      <c r="H119"/>
      <c r="I119"/>
      <c r="J119"/>
      <c r="K119"/>
    </row>
    <row r="120" spans="5:11" x14ac:dyDescent="0.3">
      <c r="G120"/>
      <c r="H120"/>
      <c r="I120"/>
      <c r="J120"/>
      <c r="K120"/>
    </row>
    <row r="121" spans="5:11" x14ac:dyDescent="0.3">
      <c r="I121"/>
      <c r="J121"/>
      <c r="K121"/>
    </row>
    <row r="122" spans="5:11" x14ac:dyDescent="0.3">
      <c r="I122"/>
      <c r="J122"/>
      <c r="K122"/>
    </row>
    <row r="123" spans="5:11" x14ac:dyDescent="0.3">
      <c r="E123" s="1"/>
      <c r="F123" s="1"/>
      <c r="I123"/>
      <c r="J123"/>
      <c r="K123"/>
    </row>
    <row r="124" spans="5:11" x14ac:dyDescent="0.3">
      <c r="E124" s="1"/>
      <c r="F124" s="1"/>
      <c r="I124"/>
      <c r="J124"/>
      <c r="K124"/>
    </row>
    <row r="125" spans="5:11" x14ac:dyDescent="0.3">
      <c r="E125" s="1"/>
      <c r="F125" s="1"/>
      <c r="I125"/>
      <c r="J125"/>
      <c r="K125"/>
    </row>
    <row r="126" spans="5:11" x14ac:dyDescent="0.3">
      <c r="E126" s="1"/>
      <c r="F126" s="1"/>
      <c r="I126"/>
      <c r="J126"/>
      <c r="K126"/>
    </row>
    <row r="127" spans="5:11" x14ac:dyDescent="0.3">
      <c r="E127" s="1"/>
      <c r="F127" s="1"/>
      <c r="I127"/>
      <c r="J127"/>
      <c r="K127"/>
    </row>
    <row r="128" spans="5:11" x14ac:dyDescent="0.3">
      <c r="I128"/>
      <c r="J128"/>
      <c r="K128"/>
    </row>
    <row r="129" spans="9:19" x14ac:dyDescent="0.3">
      <c r="I129"/>
      <c r="J129"/>
      <c r="K129"/>
      <c r="P129" s="1"/>
      <c r="Q129" s="1"/>
      <c r="R129" s="1"/>
      <c r="S129" s="1"/>
    </row>
    <row r="130" spans="9:19" x14ac:dyDescent="0.3">
      <c r="I130"/>
      <c r="J130"/>
      <c r="K130"/>
      <c r="P130" s="1"/>
      <c r="Q130" s="1"/>
      <c r="R130" s="1"/>
      <c r="S130" s="1"/>
    </row>
    <row r="131" spans="9:19" x14ac:dyDescent="0.3">
      <c r="I131"/>
      <c r="J131"/>
      <c r="K131"/>
      <c r="P131" s="1"/>
      <c r="Q131" s="1"/>
      <c r="R131" s="1"/>
      <c r="S131" s="1"/>
    </row>
    <row r="132" spans="9:19" x14ac:dyDescent="0.3">
      <c r="I132"/>
      <c r="J132"/>
      <c r="K132"/>
      <c r="P132" s="1"/>
      <c r="Q132" s="1"/>
      <c r="R132" s="1"/>
      <c r="S132" s="1"/>
    </row>
    <row r="133" spans="9:19" x14ac:dyDescent="0.3">
      <c r="I133"/>
      <c r="J133"/>
      <c r="K133"/>
      <c r="P133" s="1"/>
      <c r="Q133" s="1"/>
      <c r="R133" s="1"/>
      <c r="S133" s="1"/>
    </row>
    <row r="134" spans="9:19" x14ac:dyDescent="0.3">
      <c r="I134"/>
      <c r="J134"/>
      <c r="K134"/>
      <c r="P134" s="1"/>
      <c r="Q134" s="1"/>
      <c r="R134" s="1"/>
      <c r="S134" s="1"/>
    </row>
    <row r="135" spans="9:19" x14ac:dyDescent="0.3">
      <c r="I135"/>
      <c r="J135"/>
      <c r="K135"/>
    </row>
    <row r="136" spans="9:19" x14ac:dyDescent="0.3">
      <c r="I136"/>
      <c r="J136"/>
      <c r="K136"/>
    </row>
    <row r="137" spans="9:19" x14ac:dyDescent="0.3">
      <c r="I137"/>
      <c r="J137"/>
      <c r="K137"/>
    </row>
    <row r="138" spans="9:19" x14ac:dyDescent="0.3">
      <c r="I138"/>
      <c r="J138"/>
      <c r="K138"/>
    </row>
    <row r="139" spans="9:19" x14ac:dyDescent="0.3">
      <c r="I139"/>
      <c r="J139"/>
      <c r="K139"/>
    </row>
    <row r="140" spans="9:19" x14ac:dyDescent="0.3">
      <c r="I140"/>
      <c r="J140"/>
      <c r="K140"/>
    </row>
  </sheetData>
  <mergeCells count="50">
    <mergeCell ref="B111:C111"/>
    <mergeCell ref="D111:F111"/>
    <mergeCell ref="G111:H111"/>
    <mergeCell ref="R111:U111"/>
    <mergeCell ref="V111:X111"/>
    <mergeCell ref="R110:U110"/>
    <mergeCell ref="C76:D76"/>
    <mergeCell ref="C77:D77"/>
    <mergeCell ref="B110:C110"/>
    <mergeCell ref="D110:F110"/>
    <mergeCell ref="G110:H110"/>
    <mergeCell ref="V110:X110"/>
    <mergeCell ref="B66:C66"/>
    <mergeCell ref="D66:I66"/>
    <mergeCell ref="L67:L69"/>
    <mergeCell ref="M67:P69"/>
    <mergeCell ref="L70:L72"/>
    <mergeCell ref="M70:P72"/>
    <mergeCell ref="D74:H74"/>
    <mergeCell ref="M63:P63"/>
    <mergeCell ref="Q63:U63"/>
    <mergeCell ref="L64:L66"/>
    <mergeCell ref="M64:P66"/>
    <mergeCell ref="D73:H73"/>
    <mergeCell ref="C20:D20"/>
    <mergeCell ref="C19:D19"/>
    <mergeCell ref="B7:C7"/>
    <mergeCell ref="E7:H7"/>
    <mergeCell ref="I7:N7"/>
    <mergeCell ref="B8:C9"/>
    <mergeCell ref="E8:H8"/>
    <mergeCell ref="I8:N8"/>
    <mergeCell ref="E9:H9"/>
    <mergeCell ref="I9:N9"/>
    <mergeCell ref="I27:J27"/>
    <mergeCell ref="C28:D28"/>
    <mergeCell ref="I28:J28"/>
    <mergeCell ref="C35:D35"/>
    <mergeCell ref="C36:D36"/>
    <mergeCell ref="C21:D21"/>
    <mergeCell ref="C23:D23"/>
    <mergeCell ref="C24:D24"/>
    <mergeCell ref="C27:D27"/>
    <mergeCell ref="C44:D44"/>
    <mergeCell ref="I44:J44"/>
    <mergeCell ref="C37:D37"/>
    <mergeCell ref="C39:D39"/>
    <mergeCell ref="C40:D40"/>
    <mergeCell ref="C43:D43"/>
    <mergeCell ref="I43:J4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4701-F8A3-4E07-820C-A33E4C342DCB}">
  <sheetPr>
    <tabColor rgb="FF00B050"/>
  </sheetPr>
  <dimension ref="A2:AC81"/>
  <sheetViews>
    <sheetView showGridLines="0" zoomScale="85" zoomScaleNormal="85" workbookViewId="0">
      <selection activeCell="O25" sqref="O25"/>
    </sheetView>
  </sheetViews>
  <sheetFormatPr defaultRowHeight="16.5" x14ac:dyDescent="0.3"/>
  <cols>
    <col min="1" max="1" width="2.375" style="1" customWidth="1"/>
    <col min="2" max="2" width="4.875" customWidth="1"/>
    <col min="3" max="3" width="7.625" customWidth="1"/>
    <col min="4" max="4" width="16.125" customWidth="1"/>
    <col min="5" max="6" width="9.625" customWidth="1"/>
    <col min="7" max="7" width="7.625" customWidth="1"/>
    <col min="8" max="8" width="8" customWidth="1"/>
    <col min="9" max="9" width="13.875" customWidth="1"/>
    <col min="10" max="10" width="8.75" customWidth="1"/>
    <col min="11" max="11" width="2" customWidth="1"/>
    <col min="13" max="13" width="9.625" bestFit="1" customWidth="1"/>
    <col min="15" max="15" width="9.875" bestFit="1" customWidth="1"/>
    <col min="16" max="16" width="10.75" customWidth="1"/>
    <col min="18" max="18" width="9" bestFit="1" customWidth="1"/>
  </cols>
  <sheetData>
    <row r="2" spans="1:19" ht="26.25" x14ac:dyDescent="0.3">
      <c r="B2" s="122" t="s">
        <v>134</v>
      </c>
    </row>
    <row r="3" spans="1:19" ht="15.6" customHeight="1" x14ac:dyDescent="0.3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5"/>
    </row>
    <row r="4" spans="1:19" x14ac:dyDescent="0.3">
      <c r="B4" s="126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</row>
    <row r="5" spans="1:19" ht="2.1" customHeight="1" x14ac:dyDescent="0.3"/>
    <row r="6" spans="1:19" ht="30" customHeight="1" x14ac:dyDescent="0.3">
      <c r="B6" s="129" t="s">
        <v>135</v>
      </c>
      <c r="C6" s="130" t="s">
        <v>40</v>
      </c>
      <c r="D6" s="131"/>
      <c r="E6" s="130" t="s">
        <v>136</v>
      </c>
      <c r="F6" s="132"/>
      <c r="G6" s="129" t="s">
        <v>137</v>
      </c>
      <c r="H6" s="130" t="s">
        <v>138</v>
      </c>
      <c r="I6" s="131"/>
      <c r="J6" s="130" t="s">
        <v>139</v>
      </c>
      <c r="K6" s="132"/>
      <c r="L6" s="131"/>
      <c r="M6" s="133" t="s">
        <v>140</v>
      </c>
      <c r="N6" s="129" t="s">
        <v>141</v>
      </c>
      <c r="O6" s="129" t="s">
        <v>142</v>
      </c>
      <c r="P6" s="129" t="s">
        <v>143</v>
      </c>
      <c r="Q6" s="129" t="s">
        <v>144</v>
      </c>
      <c r="R6" s="130" t="s">
        <v>145</v>
      </c>
      <c r="S6" s="131"/>
    </row>
    <row r="7" spans="1:19" ht="5.45" customHeight="1" x14ac:dyDescent="0.3"/>
    <row r="8" spans="1:19" x14ac:dyDescent="0.3">
      <c r="B8" s="134">
        <v>1</v>
      </c>
      <c r="C8" s="135" t="s">
        <v>146</v>
      </c>
      <c r="D8" s="136"/>
      <c r="E8" s="135" t="s">
        <v>147</v>
      </c>
      <c r="F8" s="136"/>
      <c r="G8" s="134" t="s">
        <v>148</v>
      </c>
      <c r="H8" s="135" t="s">
        <v>149</v>
      </c>
      <c r="I8" s="136"/>
      <c r="J8" s="135" t="s">
        <v>150</v>
      </c>
      <c r="K8" s="137"/>
      <c r="L8" s="136"/>
      <c r="M8" s="134">
        <v>0</v>
      </c>
      <c r="N8" s="134" t="s">
        <v>151</v>
      </c>
      <c r="O8" s="138">
        <v>1100</v>
      </c>
      <c r="P8" s="139">
        <v>2000</v>
      </c>
      <c r="Q8" s="140" t="s">
        <v>152</v>
      </c>
      <c r="R8" s="141" t="s">
        <v>153</v>
      </c>
      <c r="S8" s="142"/>
    </row>
    <row r="9" spans="1:19" x14ac:dyDescent="0.3">
      <c r="B9" s="134">
        <v>2</v>
      </c>
      <c r="C9" s="135" t="s">
        <v>146</v>
      </c>
      <c r="D9" s="136"/>
      <c r="E9" s="135" t="s">
        <v>147</v>
      </c>
      <c r="F9" s="136"/>
      <c r="G9" s="134" t="s">
        <v>148</v>
      </c>
      <c r="H9" s="135" t="s">
        <v>149</v>
      </c>
      <c r="I9" s="136">
        <v>20230525</v>
      </c>
      <c r="J9" s="135">
        <v>20230525</v>
      </c>
      <c r="K9" s="137"/>
      <c r="L9" s="136"/>
      <c r="M9" s="134">
        <v>0</v>
      </c>
      <c r="N9" s="134" t="s">
        <v>151</v>
      </c>
      <c r="O9" s="138">
        <v>1100</v>
      </c>
      <c r="P9" s="139">
        <v>2000</v>
      </c>
      <c r="Q9" s="140" t="s">
        <v>152</v>
      </c>
      <c r="R9" s="141" t="s">
        <v>153</v>
      </c>
      <c r="S9" s="142"/>
    </row>
    <row r="10" spans="1:19" x14ac:dyDescent="0.3">
      <c r="B10" s="134">
        <v>3</v>
      </c>
      <c r="C10" s="135" t="s">
        <v>146</v>
      </c>
      <c r="D10" s="136"/>
      <c r="E10" s="135" t="s">
        <v>147</v>
      </c>
      <c r="F10" s="136"/>
      <c r="G10" s="134" t="s">
        <v>148</v>
      </c>
      <c r="H10" s="135" t="s">
        <v>149</v>
      </c>
      <c r="I10" s="136" t="s">
        <v>154</v>
      </c>
      <c r="J10" s="135" t="s">
        <v>154</v>
      </c>
      <c r="K10" s="137"/>
      <c r="L10" s="136"/>
      <c r="M10" s="134">
        <v>0</v>
      </c>
      <c r="N10" s="134" t="s">
        <v>151</v>
      </c>
      <c r="O10" s="138">
        <v>1100</v>
      </c>
      <c r="P10" s="139">
        <v>2000</v>
      </c>
      <c r="Q10" s="140" t="s">
        <v>152</v>
      </c>
      <c r="R10" s="141" t="s">
        <v>153</v>
      </c>
      <c r="S10" s="142"/>
    </row>
    <row r="11" spans="1:19" x14ac:dyDescent="0.3">
      <c r="B11" s="134">
        <v>4</v>
      </c>
      <c r="C11" s="135" t="s">
        <v>146</v>
      </c>
      <c r="D11" s="136"/>
      <c r="E11" s="135" t="s">
        <v>147</v>
      </c>
      <c r="F11" s="136"/>
      <c r="G11" s="134" t="s">
        <v>148</v>
      </c>
      <c r="H11" s="135" t="s">
        <v>149</v>
      </c>
      <c r="I11" s="136" t="s">
        <v>155</v>
      </c>
      <c r="J11" s="135" t="s">
        <v>155</v>
      </c>
      <c r="K11" s="137"/>
      <c r="L11" s="136"/>
      <c r="M11" s="134">
        <v>0</v>
      </c>
      <c r="N11" s="134" t="s">
        <v>151</v>
      </c>
      <c r="O11" s="138">
        <v>1100</v>
      </c>
      <c r="P11" s="139">
        <v>2000</v>
      </c>
      <c r="Q11" s="140" t="s">
        <v>152</v>
      </c>
      <c r="R11" s="141" t="s">
        <v>153</v>
      </c>
      <c r="S11" s="142"/>
    </row>
    <row r="12" spans="1:19" x14ac:dyDescent="0.3">
      <c r="B12" s="134">
        <v>5</v>
      </c>
      <c r="C12" s="135" t="s">
        <v>146</v>
      </c>
      <c r="D12" s="136"/>
      <c r="E12" s="135" t="s">
        <v>147</v>
      </c>
      <c r="F12" s="136"/>
      <c r="G12" s="134" t="s">
        <v>148</v>
      </c>
      <c r="H12" s="135" t="s">
        <v>149</v>
      </c>
      <c r="I12" s="136" t="s">
        <v>156</v>
      </c>
      <c r="J12" s="135" t="s">
        <v>156</v>
      </c>
      <c r="K12" s="137"/>
      <c r="L12" s="136"/>
      <c r="M12" s="134">
        <v>0</v>
      </c>
      <c r="N12" s="134" t="s">
        <v>151</v>
      </c>
      <c r="O12" s="138">
        <v>1100</v>
      </c>
      <c r="P12" s="139">
        <v>2000</v>
      </c>
      <c r="Q12" s="140" t="s">
        <v>152</v>
      </c>
      <c r="R12" s="141" t="s">
        <v>153</v>
      </c>
      <c r="S12" s="142"/>
    </row>
    <row r="13" spans="1:19" x14ac:dyDescent="0.3">
      <c r="B13" s="134">
        <v>6</v>
      </c>
      <c r="C13" s="135" t="s">
        <v>146</v>
      </c>
      <c r="D13" s="136"/>
      <c r="E13" s="135" t="s">
        <v>147</v>
      </c>
      <c r="F13" s="136"/>
      <c r="G13" s="134" t="s">
        <v>148</v>
      </c>
      <c r="H13" s="135" t="s">
        <v>149</v>
      </c>
      <c r="I13" s="136" t="s">
        <v>157</v>
      </c>
      <c r="J13" s="135" t="s">
        <v>157</v>
      </c>
      <c r="K13" s="137"/>
      <c r="L13" s="136"/>
      <c r="M13" s="134">
        <v>0</v>
      </c>
      <c r="N13" s="134" t="s">
        <v>151</v>
      </c>
      <c r="O13" s="138">
        <v>1100</v>
      </c>
      <c r="P13" s="139">
        <v>2000</v>
      </c>
      <c r="Q13" s="140" t="s">
        <v>152</v>
      </c>
      <c r="R13" s="141" t="s">
        <v>153</v>
      </c>
      <c r="S13" s="142"/>
    </row>
    <row r="14" spans="1:19" x14ac:dyDescent="0.3">
      <c r="B14" s="134">
        <v>7</v>
      </c>
      <c r="C14" s="135" t="s">
        <v>146</v>
      </c>
      <c r="D14" s="136"/>
      <c r="E14" s="135" t="s">
        <v>147</v>
      </c>
      <c r="F14" s="136"/>
      <c r="G14" s="134" t="s">
        <v>148</v>
      </c>
      <c r="H14" s="135" t="s">
        <v>149</v>
      </c>
      <c r="I14" s="136" t="s">
        <v>158</v>
      </c>
      <c r="J14" s="135" t="s">
        <v>158</v>
      </c>
      <c r="K14" s="137"/>
      <c r="L14" s="136"/>
      <c r="M14" s="134">
        <v>0</v>
      </c>
      <c r="N14" s="134" t="s">
        <v>151</v>
      </c>
      <c r="O14" s="138">
        <v>1100</v>
      </c>
      <c r="P14" s="139">
        <v>2000</v>
      </c>
      <c r="Q14" s="140" t="s">
        <v>152</v>
      </c>
      <c r="R14" s="141" t="s">
        <v>153</v>
      </c>
      <c r="S14" s="142"/>
    </row>
    <row r="15" spans="1:19" x14ac:dyDescent="0.3">
      <c r="B15" s="134">
        <v>8</v>
      </c>
      <c r="C15" s="135" t="s">
        <v>146</v>
      </c>
      <c r="D15" s="136"/>
      <c r="E15" s="135" t="s">
        <v>147</v>
      </c>
      <c r="F15" s="136"/>
      <c r="G15" s="134" t="s">
        <v>148</v>
      </c>
      <c r="H15" s="135" t="s">
        <v>149</v>
      </c>
      <c r="I15" s="136" t="s">
        <v>159</v>
      </c>
      <c r="J15" s="135" t="s">
        <v>159</v>
      </c>
      <c r="K15" s="137"/>
      <c r="L15" s="136"/>
      <c r="M15" s="134">
        <v>0</v>
      </c>
      <c r="N15" s="134" t="s">
        <v>151</v>
      </c>
      <c r="O15" s="138">
        <v>1100</v>
      </c>
      <c r="P15" s="139">
        <v>2000</v>
      </c>
      <c r="Q15" s="140" t="s">
        <v>152</v>
      </c>
      <c r="R15" s="141" t="s">
        <v>153</v>
      </c>
      <c r="S15" s="142"/>
    </row>
    <row r="16" spans="1:19" x14ac:dyDescent="0.3">
      <c r="A16"/>
      <c r="B16" s="134">
        <v>9</v>
      </c>
      <c r="C16" s="135" t="s">
        <v>146</v>
      </c>
      <c r="D16" s="136"/>
      <c r="E16" s="135" t="s">
        <v>147</v>
      </c>
      <c r="F16" s="136"/>
      <c r="G16" s="134" t="s">
        <v>148</v>
      </c>
      <c r="H16" s="135" t="s">
        <v>149</v>
      </c>
      <c r="I16" s="136" t="s">
        <v>160</v>
      </c>
      <c r="J16" s="135" t="s">
        <v>160</v>
      </c>
      <c r="K16" s="137"/>
      <c r="L16" s="136"/>
      <c r="M16" s="134">
        <v>0</v>
      </c>
      <c r="N16" s="134" t="s">
        <v>151</v>
      </c>
      <c r="O16" s="138">
        <v>1100</v>
      </c>
      <c r="P16" s="139">
        <v>2000</v>
      </c>
      <c r="Q16" s="140" t="s">
        <v>152</v>
      </c>
      <c r="R16" s="141" t="s">
        <v>153</v>
      </c>
      <c r="S16" s="142"/>
    </row>
    <row r="17" spans="1:20" x14ac:dyDescent="0.3">
      <c r="A17"/>
      <c r="B17" s="134">
        <v>10</v>
      </c>
      <c r="C17" s="135" t="s">
        <v>146</v>
      </c>
      <c r="D17" s="136"/>
      <c r="E17" s="135" t="s">
        <v>147</v>
      </c>
      <c r="F17" s="136"/>
      <c r="G17" s="134" t="s">
        <v>148</v>
      </c>
      <c r="H17" s="135" t="s">
        <v>149</v>
      </c>
      <c r="I17" s="136" t="s">
        <v>161</v>
      </c>
      <c r="J17" s="135" t="s">
        <v>162</v>
      </c>
      <c r="K17" s="137"/>
      <c r="L17" s="136"/>
      <c r="M17" s="134">
        <v>0</v>
      </c>
      <c r="N17" s="134" t="s">
        <v>151</v>
      </c>
      <c r="O17" s="138">
        <v>1100</v>
      </c>
      <c r="P17" s="139">
        <v>1400</v>
      </c>
      <c r="Q17" s="140" t="s">
        <v>152</v>
      </c>
      <c r="R17" s="141" t="s">
        <v>153</v>
      </c>
      <c r="S17" s="142"/>
    </row>
    <row r="18" spans="1:20" ht="5.0999999999999996" customHeight="1" x14ac:dyDescent="0.3">
      <c r="A18"/>
      <c r="B18" s="143"/>
      <c r="C18" s="143"/>
      <c r="D18" s="143"/>
      <c r="E18" s="143"/>
      <c r="F18" s="143"/>
      <c r="G18" s="143"/>
      <c r="H18" s="144"/>
      <c r="I18" s="143"/>
      <c r="J18" s="143"/>
      <c r="K18" s="143"/>
      <c r="L18" s="145"/>
      <c r="M18" s="145"/>
      <c r="N18" s="145"/>
      <c r="O18" s="146"/>
      <c r="P18" s="147"/>
      <c r="Q18" s="148"/>
      <c r="R18" s="147"/>
      <c r="S18" s="147"/>
    </row>
    <row r="19" spans="1:20" ht="24.95" customHeight="1" x14ac:dyDescent="0.3">
      <c r="A19"/>
      <c r="B19" s="149" t="s">
        <v>163</v>
      </c>
      <c r="C19" s="150"/>
      <c r="D19" s="150"/>
      <c r="E19" s="150"/>
      <c r="F19" s="150"/>
      <c r="G19" s="150"/>
      <c r="H19" s="150"/>
      <c r="I19" s="151"/>
      <c r="J19" s="152"/>
      <c r="K19" s="1"/>
      <c r="L19" s="153" t="s">
        <v>164</v>
      </c>
      <c r="M19" s="154"/>
      <c r="N19" s="154"/>
      <c r="O19" s="154"/>
      <c r="P19" s="154"/>
      <c r="Q19" s="154"/>
      <c r="R19" s="154"/>
      <c r="S19" s="155"/>
    </row>
    <row r="20" spans="1:20" x14ac:dyDescent="0.3">
      <c r="A20"/>
      <c r="B20" s="156" t="s">
        <v>135</v>
      </c>
      <c r="C20" s="156" t="s">
        <v>165</v>
      </c>
      <c r="D20" s="156" t="s">
        <v>40</v>
      </c>
      <c r="E20" s="157" t="s">
        <v>136</v>
      </c>
      <c r="F20" s="158"/>
      <c r="G20" s="159" t="s">
        <v>166</v>
      </c>
      <c r="H20" s="159" t="s">
        <v>167</v>
      </c>
      <c r="I20" s="159" t="s">
        <v>168</v>
      </c>
      <c r="J20" s="159" t="s">
        <v>169</v>
      </c>
      <c r="K20" s="1"/>
      <c r="L20" s="158" t="s">
        <v>170</v>
      </c>
      <c r="M20" s="158"/>
      <c r="N20" s="158" t="s">
        <v>171</v>
      </c>
      <c r="O20" s="158"/>
      <c r="P20" s="158" t="s">
        <v>172</v>
      </c>
      <c r="Q20" s="158"/>
      <c r="R20" s="159" t="s">
        <v>58</v>
      </c>
      <c r="S20" s="159" t="s">
        <v>39</v>
      </c>
    </row>
    <row r="21" spans="1:20" x14ac:dyDescent="0.3">
      <c r="A21"/>
      <c r="B21" s="160">
        <v>1</v>
      </c>
      <c r="C21" s="161" t="s">
        <v>173</v>
      </c>
      <c r="D21" s="161" t="s">
        <v>174</v>
      </c>
      <c r="E21" s="162" t="s">
        <v>175</v>
      </c>
      <c r="F21" s="163"/>
      <c r="G21" s="164">
        <v>5</v>
      </c>
      <c r="H21" s="164">
        <v>500</v>
      </c>
      <c r="I21" s="164">
        <f>+H21*G21</f>
        <v>2500</v>
      </c>
      <c r="J21" s="165"/>
      <c r="K21" s="1"/>
      <c r="L21" s="166" t="s">
        <v>176</v>
      </c>
      <c r="M21" s="166"/>
      <c r="N21" s="166" t="s">
        <v>147</v>
      </c>
      <c r="O21" s="166"/>
      <c r="P21" s="166" t="s">
        <v>150</v>
      </c>
      <c r="Q21" s="166"/>
      <c r="R21" s="167">
        <v>2000</v>
      </c>
      <c r="S21" s="134">
        <v>1100</v>
      </c>
      <c r="T21" s="144"/>
    </row>
    <row r="22" spans="1:20" x14ac:dyDescent="0.3">
      <c r="B22" s="160">
        <v>2</v>
      </c>
      <c r="C22" s="161" t="s">
        <v>173</v>
      </c>
      <c r="D22" s="161" t="s">
        <v>177</v>
      </c>
      <c r="E22" s="162" t="s">
        <v>175</v>
      </c>
      <c r="F22" s="163"/>
      <c r="G22" s="164">
        <v>1</v>
      </c>
      <c r="H22" s="164">
        <v>500</v>
      </c>
      <c r="I22" s="164">
        <f>+H22*G22</f>
        <v>500</v>
      </c>
      <c r="J22" s="165"/>
      <c r="K22" s="1"/>
      <c r="L22" s="168" t="s">
        <v>39</v>
      </c>
      <c r="M22" s="168" t="s">
        <v>178</v>
      </c>
      <c r="N22" s="168" t="s">
        <v>179</v>
      </c>
      <c r="O22" s="168" t="s">
        <v>58</v>
      </c>
      <c r="P22" s="168" t="s">
        <v>180</v>
      </c>
      <c r="Q22" s="168" t="s">
        <v>181</v>
      </c>
      <c r="R22" s="168" t="s">
        <v>182</v>
      </c>
      <c r="S22" s="168" t="s">
        <v>183</v>
      </c>
    </row>
    <row r="23" spans="1:20" x14ac:dyDescent="0.3">
      <c r="B23" s="160">
        <v>3</v>
      </c>
      <c r="C23" s="161" t="s">
        <v>184</v>
      </c>
      <c r="D23" s="161" t="s">
        <v>185</v>
      </c>
      <c r="E23" s="162" t="s">
        <v>175</v>
      </c>
      <c r="F23" s="163"/>
      <c r="G23" s="164">
        <v>2</v>
      </c>
      <c r="H23" s="164">
        <v>500</v>
      </c>
      <c r="I23" s="164">
        <f>+H23*G23</f>
        <v>1000</v>
      </c>
      <c r="J23" s="165"/>
      <c r="K23" s="1"/>
      <c r="L23" s="164">
        <v>1100</v>
      </c>
      <c r="M23" s="164">
        <f>170*5+180</f>
        <v>1030</v>
      </c>
      <c r="N23" s="164">
        <f>+L23-M23</f>
        <v>70</v>
      </c>
      <c r="O23" s="169">
        <f>+R21</f>
        <v>2000</v>
      </c>
      <c r="P23" s="164">
        <f>+H22*6</f>
        <v>3000</v>
      </c>
      <c r="Q23" s="164">
        <f>3000</f>
        <v>3000</v>
      </c>
      <c r="R23" s="164">
        <f>+P23-Q23</f>
        <v>0</v>
      </c>
      <c r="S23" s="164">
        <f>+R23/6</f>
        <v>0</v>
      </c>
    </row>
    <row r="24" spans="1:20" x14ac:dyDescent="0.3">
      <c r="L24" s="164">
        <v>1100</v>
      </c>
      <c r="M24" s="164">
        <f>200*2</f>
        <v>400</v>
      </c>
      <c r="N24" s="164">
        <f>+L24-M24</f>
        <v>700</v>
      </c>
      <c r="O24" s="169">
        <f>+O23-H21</f>
        <v>1500</v>
      </c>
      <c r="P24" s="164">
        <f>+H23*5</f>
        <v>2500</v>
      </c>
      <c r="Q24" s="164">
        <v>1000</v>
      </c>
      <c r="R24" s="164">
        <f>+P24-Q24</f>
        <v>1500</v>
      </c>
      <c r="S24" s="164">
        <v>1500</v>
      </c>
    </row>
    <row r="25" spans="1:20" x14ac:dyDescent="0.3">
      <c r="L25" s="164"/>
      <c r="M25" s="164"/>
      <c r="N25" s="164"/>
      <c r="O25" s="169"/>
      <c r="P25" s="164"/>
      <c r="Q25" s="164"/>
      <c r="R25" s="164"/>
      <c r="S25" s="164"/>
    </row>
    <row r="26" spans="1:20" x14ac:dyDescent="0.3">
      <c r="L26" s="164"/>
      <c r="M26" s="164"/>
      <c r="N26" s="164"/>
      <c r="O26" s="169"/>
      <c r="P26" s="164"/>
      <c r="Q26" s="164"/>
      <c r="R26" s="164"/>
      <c r="S26" s="164"/>
    </row>
    <row r="27" spans="1:20" x14ac:dyDescent="0.3">
      <c r="L27" s="19" t="s">
        <v>186</v>
      </c>
      <c r="M27" s="1"/>
      <c r="N27" s="1"/>
    </row>
    <row r="28" spans="1:20" x14ac:dyDescent="0.3">
      <c r="L28" s="168" t="s">
        <v>61</v>
      </c>
      <c r="M28" s="168" t="s">
        <v>38</v>
      </c>
      <c r="N28" s="168" t="s">
        <v>59</v>
      </c>
      <c r="O28" s="170" t="s">
        <v>187</v>
      </c>
      <c r="P28" s="170" t="s">
        <v>188</v>
      </c>
      <c r="Q28" s="170" t="s">
        <v>189</v>
      </c>
    </row>
    <row r="29" spans="1:20" x14ac:dyDescent="0.3">
      <c r="L29" s="164">
        <v>70</v>
      </c>
      <c r="M29" s="164">
        <f>+H21</f>
        <v>500</v>
      </c>
      <c r="N29" s="164" t="s">
        <v>190</v>
      </c>
      <c r="O29" s="171"/>
      <c r="P29" s="171"/>
      <c r="Q29" s="171"/>
    </row>
    <row r="30" spans="1:20" x14ac:dyDescent="0.3">
      <c r="L30" s="164">
        <f>+N24</f>
        <v>700</v>
      </c>
      <c r="M30" s="164">
        <f>+S24/3</f>
        <v>500</v>
      </c>
      <c r="N30" s="164" t="s">
        <v>190</v>
      </c>
      <c r="O30" s="171"/>
      <c r="P30" s="171"/>
      <c r="Q30" s="171"/>
    </row>
    <row r="31" spans="1:20" x14ac:dyDescent="0.3">
      <c r="L31" s="164">
        <f>+S21</f>
        <v>1100</v>
      </c>
      <c r="M31" s="172">
        <f>+R21-M29-M30</f>
        <v>1000</v>
      </c>
      <c r="N31" s="164" t="s">
        <v>190</v>
      </c>
      <c r="O31" s="171"/>
      <c r="P31" s="171"/>
      <c r="Q31" s="171"/>
    </row>
    <row r="34" spans="1:29" ht="20.25" x14ac:dyDescent="0.3">
      <c r="B34" s="173" t="s">
        <v>191</v>
      </c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</row>
    <row r="35" spans="1:29" s="85" customFormat="1" ht="20.25" x14ac:dyDescent="0.3">
      <c r="A35" s="175"/>
      <c r="B35" s="85" t="s">
        <v>192</v>
      </c>
      <c r="O35" s="85" t="s">
        <v>193</v>
      </c>
    </row>
    <row r="36" spans="1:29" x14ac:dyDescent="0.3">
      <c r="B36" s="19" t="s">
        <v>194</v>
      </c>
      <c r="O36" t="s">
        <v>195</v>
      </c>
    </row>
    <row r="37" spans="1:29" x14ac:dyDescent="0.3">
      <c r="B37" t="s">
        <v>196</v>
      </c>
      <c r="O37" t="s">
        <v>197</v>
      </c>
    </row>
    <row r="38" spans="1:29" x14ac:dyDescent="0.3">
      <c r="B38" t="s">
        <v>198</v>
      </c>
      <c r="O38" t="s">
        <v>199</v>
      </c>
    </row>
    <row r="39" spans="1:29" x14ac:dyDescent="0.3">
      <c r="B39" t="s">
        <v>200</v>
      </c>
      <c r="O39" t="s">
        <v>201</v>
      </c>
    </row>
    <row r="40" spans="1:29" x14ac:dyDescent="0.3">
      <c r="B40" t="s">
        <v>202</v>
      </c>
      <c r="O40" t="s">
        <v>203</v>
      </c>
    </row>
    <row r="41" spans="1:29" x14ac:dyDescent="0.3">
      <c r="B41" t="s">
        <v>204</v>
      </c>
    </row>
    <row r="44" spans="1:29" ht="20.25" x14ac:dyDescent="0.3">
      <c r="O44" s="85" t="s">
        <v>205</v>
      </c>
    </row>
    <row r="45" spans="1:29" x14ac:dyDescent="0.3">
      <c r="O45" t="s">
        <v>206</v>
      </c>
    </row>
    <row r="46" spans="1:29" x14ac:dyDescent="0.3">
      <c r="O46" t="s">
        <v>207</v>
      </c>
    </row>
    <row r="47" spans="1:29" x14ac:dyDescent="0.3">
      <c r="O47" t="s">
        <v>208</v>
      </c>
      <c r="U47" t="s">
        <v>209</v>
      </c>
    </row>
    <row r="50" spans="2:16" ht="20.25" x14ac:dyDescent="0.3">
      <c r="O50" s="85" t="s">
        <v>210</v>
      </c>
    </row>
    <row r="51" spans="2:16" x14ac:dyDescent="0.3">
      <c r="O51" t="s">
        <v>211</v>
      </c>
    </row>
    <row r="52" spans="2:16" x14ac:dyDescent="0.3">
      <c r="O52" t="s">
        <v>212</v>
      </c>
    </row>
    <row r="53" spans="2:16" x14ac:dyDescent="0.3">
      <c r="O53" t="s">
        <v>208</v>
      </c>
    </row>
    <row r="54" spans="2:16" x14ac:dyDescent="0.3">
      <c r="O54" t="s">
        <v>213</v>
      </c>
    </row>
    <row r="56" spans="2:16" ht="20.25" x14ac:dyDescent="0.3">
      <c r="O56" s="85" t="s">
        <v>214</v>
      </c>
    </row>
    <row r="57" spans="2:16" x14ac:dyDescent="0.3">
      <c r="O57" t="s">
        <v>215</v>
      </c>
    </row>
    <row r="58" spans="2:16" x14ac:dyDescent="0.3">
      <c r="O58" t="s">
        <v>216</v>
      </c>
    </row>
    <row r="63" spans="2:16" ht="20.25" x14ac:dyDescent="0.3">
      <c r="B63" s="24" t="s">
        <v>27</v>
      </c>
      <c r="C63" s="23"/>
      <c r="D63" s="23"/>
      <c r="E63" s="23"/>
      <c r="F63" s="23"/>
      <c r="G63" s="22"/>
      <c r="H63" s="1"/>
      <c r="I63" s="1"/>
      <c r="J63" s="1"/>
      <c r="K63" s="1"/>
      <c r="L63" s="1"/>
      <c r="M63" s="1"/>
      <c r="N63" s="1"/>
      <c r="O63" s="1"/>
      <c r="P63" s="1"/>
    </row>
    <row r="64" spans="2:16" x14ac:dyDescent="0.3">
      <c r="B64" s="19" t="s">
        <v>26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2:24" x14ac:dyDescent="0.3">
      <c r="B65" s="19" t="s">
        <v>25</v>
      </c>
      <c r="G65" s="1"/>
      <c r="H65" s="1"/>
      <c r="I65" s="1"/>
      <c r="J65" s="1"/>
      <c r="K65" s="1"/>
      <c r="L65" s="1"/>
      <c r="M65" s="1"/>
      <c r="N65" s="1"/>
      <c r="O65" s="1"/>
    </row>
    <row r="66" spans="2:24" x14ac:dyDescent="0.3">
      <c r="B66" s="19" t="s">
        <v>24</v>
      </c>
      <c r="G66" s="1"/>
      <c r="H66" s="1"/>
      <c r="I66" s="1"/>
      <c r="J66" s="1"/>
      <c r="K66" s="1"/>
      <c r="L66" s="1"/>
      <c r="M66" s="1"/>
      <c r="N66" s="1"/>
      <c r="O66" s="1"/>
    </row>
    <row r="67" spans="2:24" x14ac:dyDescent="0.3">
      <c r="B67" s="20" t="s">
        <v>23</v>
      </c>
      <c r="C67" s="21"/>
      <c r="G67" s="1"/>
      <c r="H67" s="1"/>
      <c r="I67" s="1"/>
      <c r="J67" s="1"/>
      <c r="K67" s="1"/>
      <c r="L67" s="1"/>
      <c r="M67" s="1"/>
      <c r="N67" s="1"/>
      <c r="O67" s="1"/>
    </row>
    <row r="68" spans="2:24" x14ac:dyDescent="0.3">
      <c r="B68" s="20" t="s">
        <v>22</v>
      </c>
      <c r="G68" s="1"/>
      <c r="H68" s="1"/>
      <c r="I68" s="1"/>
      <c r="J68" s="1"/>
      <c r="K68" s="1"/>
      <c r="L68" s="1"/>
      <c r="M68" s="1"/>
      <c r="N68" s="1"/>
      <c r="O68" s="1"/>
    </row>
    <row r="69" spans="2:24" x14ac:dyDescent="0.3">
      <c r="B69" s="19" t="s">
        <v>21</v>
      </c>
      <c r="G69" s="1"/>
      <c r="H69" s="1"/>
      <c r="I69" s="1"/>
      <c r="J69" s="1"/>
      <c r="K69" s="1"/>
      <c r="L69" s="1"/>
      <c r="M69" s="1"/>
      <c r="N69" s="1"/>
      <c r="O69" s="1"/>
    </row>
    <row r="70" spans="2:24" x14ac:dyDescent="0.3">
      <c r="G70" s="1"/>
      <c r="H70" s="1"/>
      <c r="I70" s="1"/>
      <c r="J70" s="1"/>
      <c r="K70" s="1"/>
      <c r="L70" s="1"/>
      <c r="M70" s="1"/>
      <c r="N70" s="1"/>
      <c r="O70" s="1"/>
    </row>
    <row r="71" spans="2:24" x14ac:dyDescent="0.3">
      <c r="G71" s="1"/>
      <c r="H71" s="1"/>
      <c r="I71" s="1"/>
      <c r="J71" s="1"/>
      <c r="K71" s="1"/>
      <c r="L71" s="1"/>
      <c r="M71" s="1"/>
      <c r="N71" s="1"/>
      <c r="O71" s="1"/>
    </row>
    <row r="72" spans="2:24" x14ac:dyDescent="0.3">
      <c r="G72" s="1"/>
      <c r="H72" s="1"/>
      <c r="I72" s="1"/>
      <c r="J72" s="1"/>
      <c r="K72" s="1"/>
      <c r="L72" s="1"/>
      <c r="M72" s="1"/>
      <c r="N72" s="1"/>
      <c r="O72" s="1"/>
    </row>
    <row r="73" spans="2:24" x14ac:dyDescent="0.3">
      <c r="G73" s="1"/>
      <c r="H73" s="1"/>
      <c r="I73" s="1"/>
      <c r="J73" s="1"/>
      <c r="K73" s="1"/>
      <c r="L73" s="1"/>
      <c r="M73" s="1"/>
      <c r="N73" s="1"/>
      <c r="O73" s="1"/>
    </row>
    <row r="74" spans="2:24" x14ac:dyDescent="0.3">
      <c r="G74" s="1"/>
      <c r="H74" s="1"/>
      <c r="I74" s="1"/>
      <c r="J74" s="1"/>
      <c r="K74" s="1"/>
      <c r="L74" s="1"/>
      <c r="M74" s="1"/>
      <c r="N74" s="1"/>
      <c r="O74" s="1"/>
    </row>
    <row r="75" spans="2:24" x14ac:dyDescent="0.3">
      <c r="G75" s="1"/>
      <c r="H75" s="1"/>
      <c r="I75" s="1"/>
      <c r="J75" s="1"/>
      <c r="K75" s="1"/>
      <c r="L75" s="1"/>
      <c r="M75" s="1"/>
      <c r="N75" s="1"/>
      <c r="O75" s="1"/>
    </row>
    <row r="76" spans="2:24" x14ac:dyDescent="0.3">
      <c r="G76" s="1"/>
      <c r="H76" s="1"/>
      <c r="I76" s="1"/>
      <c r="J76" s="1"/>
      <c r="K76" s="1"/>
      <c r="L76" s="1"/>
      <c r="M76" s="1"/>
      <c r="N76" s="1"/>
      <c r="O76" s="1"/>
    </row>
    <row r="77" spans="2:24" x14ac:dyDescent="0.3">
      <c r="G77" s="1"/>
      <c r="H77" s="1"/>
      <c r="I77" s="1"/>
      <c r="J77" s="1"/>
      <c r="K77" s="1"/>
      <c r="L77" s="1"/>
      <c r="M77" s="1"/>
      <c r="N77" s="1"/>
      <c r="O77" s="1"/>
    </row>
    <row r="78" spans="2:24" x14ac:dyDescent="0.3">
      <c r="G78" s="1"/>
      <c r="H78" s="1"/>
      <c r="I78" s="1"/>
      <c r="J78" s="1"/>
      <c r="K78" s="1"/>
      <c r="L78" s="1"/>
      <c r="M78" s="1"/>
      <c r="N78" s="1"/>
      <c r="O78" s="1"/>
    </row>
    <row r="79" spans="2:24" x14ac:dyDescent="0.3">
      <c r="B79" s="19" t="s">
        <v>20</v>
      </c>
      <c r="G79" s="1"/>
      <c r="H79" s="1"/>
      <c r="I79" s="1"/>
      <c r="J79" s="1"/>
      <c r="K79" s="1"/>
      <c r="L79" s="1"/>
      <c r="M79" s="1"/>
      <c r="N79" s="1"/>
      <c r="O79" s="1"/>
    </row>
    <row r="80" spans="2:24" x14ac:dyDescent="0.3">
      <c r="B80" s="14" t="s">
        <v>19</v>
      </c>
      <c r="C80" s="14"/>
      <c r="D80" s="17" t="s">
        <v>18</v>
      </c>
      <c r="E80" s="18"/>
      <c r="F80" s="16"/>
      <c r="G80" s="17" t="s">
        <v>17</v>
      </c>
      <c r="H80" s="16"/>
      <c r="I80" s="15" t="s">
        <v>16</v>
      </c>
      <c r="J80" s="15" t="s">
        <v>15</v>
      </c>
      <c r="K80" s="15" t="s">
        <v>14</v>
      </c>
      <c r="L80" s="15" t="s">
        <v>13</v>
      </c>
      <c r="M80" s="15" t="s">
        <v>12</v>
      </c>
      <c r="N80" s="15" t="s">
        <v>11</v>
      </c>
      <c r="O80" s="15" t="s">
        <v>10</v>
      </c>
      <c r="P80" s="15" t="s">
        <v>9</v>
      </c>
      <c r="Q80" s="15" t="s">
        <v>8</v>
      </c>
      <c r="R80" s="14" t="s">
        <v>7</v>
      </c>
      <c r="S80" s="14"/>
      <c r="T80" s="14"/>
      <c r="U80" s="14"/>
      <c r="V80" s="14" t="s">
        <v>6</v>
      </c>
      <c r="W80" s="14"/>
      <c r="X80" s="14"/>
    </row>
    <row r="81" spans="2:24" ht="33" x14ac:dyDescent="0.3">
      <c r="B81" s="13" t="s">
        <v>5</v>
      </c>
      <c r="C81" s="13"/>
      <c r="D81" s="11" t="s">
        <v>4</v>
      </c>
      <c r="E81" s="12"/>
      <c r="F81" s="10"/>
      <c r="G81" s="11" t="s">
        <v>3</v>
      </c>
      <c r="H81" s="10"/>
      <c r="I81" s="7" t="s">
        <v>2</v>
      </c>
      <c r="J81" s="7">
        <v>1050</v>
      </c>
      <c r="K81" s="7">
        <v>1000</v>
      </c>
      <c r="L81" s="9">
        <v>50</v>
      </c>
      <c r="M81" s="8">
        <v>1000</v>
      </c>
      <c r="N81" s="7">
        <f>+L81/1000*M81</f>
        <v>50</v>
      </c>
      <c r="O81" s="6">
        <v>25000</v>
      </c>
      <c r="P81" s="5">
        <f>+N81*O81</f>
        <v>1250000</v>
      </c>
      <c r="Q81" s="4" t="s">
        <v>1</v>
      </c>
      <c r="R81" s="2" t="s">
        <v>0</v>
      </c>
      <c r="S81" s="2"/>
      <c r="T81" s="2"/>
      <c r="U81" s="2"/>
      <c r="V81" s="3">
        <v>45052.710416666669</v>
      </c>
      <c r="W81" s="2"/>
      <c r="X81" s="2"/>
    </row>
  </sheetData>
  <mergeCells count="78">
    <mergeCell ref="B81:C81"/>
    <mergeCell ref="D81:F81"/>
    <mergeCell ref="G81:H81"/>
    <mergeCell ref="R81:U81"/>
    <mergeCell ref="V81:X81"/>
    <mergeCell ref="E22:F22"/>
    <mergeCell ref="E23:F23"/>
    <mergeCell ref="B34:AC34"/>
    <mergeCell ref="B80:C80"/>
    <mergeCell ref="D80:F80"/>
    <mergeCell ref="G80:H80"/>
    <mergeCell ref="R80:U80"/>
    <mergeCell ref="V80:X80"/>
    <mergeCell ref="I19:J19"/>
    <mergeCell ref="E20:F20"/>
    <mergeCell ref="L20:M20"/>
    <mergeCell ref="N20:O20"/>
    <mergeCell ref="P20:Q20"/>
    <mergeCell ref="E21:F21"/>
    <mergeCell ref="L21:M21"/>
    <mergeCell ref="N21:O21"/>
    <mergeCell ref="P21:Q21"/>
    <mergeCell ref="C16:D16"/>
    <mergeCell ref="E16:F16"/>
    <mergeCell ref="H16:I16"/>
    <mergeCell ref="J16:L16"/>
    <mergeCell ref="R16:S16"/>
    <mergeCell ref="C17:D17"/>
    <mergeCell ref="E17:F17"/>
    <mergeCell ref="H17:I17"/>
    <mergeCell ref="J17:L17"/>
    <mergeCell ref="R17:S17"/>
    <mergeCell ref="C14:D14"/>
    <mergeCell ref="E14:F14"/>
    <mergeCell ref="H14:I14"/>
    <mergeCell ref="J14:L14"/>
    <mergeCell ref="R14:S14"/>
    <mergeCell ref="C15:D15"/>
    <mergeCell ref="E15:F15"/>
    <mergeCell ref="H15:I15"/>
    <mergeCell ref="J15:L15"/>
    <mergeCell ref="R15:S15"/>
    <mergeCell ref="C12:D12"/>
    <mergeCell ref="E12:F12"/>
    <mergeCell ref="H12:I12"/>
    <mergeCell ref="J12:L12"/>
    <mergeCell ref="R12:S12"/>
    <mergeCell ref="C13:D13"/>
    <mergeCell ref="E13:F13"/>
    <mergeCell ref="H13:I13"/>
    <mergeCell ref="J13:L13"/>
    <mergeCell ref="R13:S13"/>
    <mergeCell ref="C10:D10"/>
    <mergeCell ref="E10:F10"/>
    <mergeCell ref="H10:I10"/>
    <mergeCell ref="J10:L10"/>
    <mergeCell ref="R10:S10"/>
    <mergeCell ref="C11:D11"/>
    <mergeCell ref="E11:F11"/>
    <mergeCell ref="H11:I11"/>
    <mergeCell ref="J11:L11"/>
    <mergeCell ref="R11:S11"/>
    <mergeCell ref="C8:D8"/>
    <mergeCell ref="E8:F8"/>
    <mergeCell ref="H8:I8"/>
    <mergeCell ref="J8:L8"/>
    <mergeCell ref="R8:S8"/>
    <mergeCell ref="C9:D9"/>
    <mergeCell ref="E9:F9"/>
    <mergeCell ref="H9:I9"/>
    <mergeCell ref="J9:L9"/>
    <mergeCell ref="R9:S9"/>
    <mergeCell ref="B3:S4"/>
    <mergeCell ref="C6:D6"/>
    <mergeCell ref="E6:F6"/>
    <mergeCell ref="H6:I6"/>
    <mergeCell ref="J6:L6"/>
    <mergeCell ref="R6:S6"/>
  </mergeCells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슬리팅관련</vt:lpstr>
      <vt:lpstr>슬리팅관련 화면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TFOX</dc:creator>
  <cp:lastModifiedBy>TFOX</cp:lastModifiedBy>
  <dcterms:created xsi:type="dcterms:W3CDTF">2024-01-11T04:24:02Z</dcterms:created>
  <dcterms:modified xsi:type="dcterms:W3CDTF">2024-01-11T04:47:25Z</dcterms:modified>
</cp:coreProperties>
</file>