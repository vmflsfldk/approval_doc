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codeName="현재_통합_문서"/>
  <mc:AlternateContent xmlns:mc="http://schemas.openxmlformats.org/markup-compatibility/2006">
    <mc:Choice Requires="x15">
      <x15ac:absPath xmlns:x15ac="http://schemas.microsoft.com/office/spreadsheetml/2010/11/ac" url="C:\Users\IT-ADMIN\Downloads\"/>
    </mc:Choice>
  </mc:AlternateContent>
  <xr:revisionPtr revIDLastSave="0" documentId="13_ncr:1_{CCD9A650-198A-4C11-BF41-5E312B5D73E8}" xr6:coauthVersionLast="36" xr6:coauthVersionMax="36" xr10:uidLastSave="{00000000-0000-0000-0000-000000000000}"/>
  <bookViews>
    <workbookView xWindow="0" yWindow="0" windowWidth="28800" windowHeight="12345" tabRatio="760" firstSheet="1" activeTab="3" xr2:uid="{00000000-000D-0000-FFFF-FFFF00000000}"/>
  </bookViews>
  <sheets>
    <sheet name="품목별현황 - 상세" sheetId="45" state="hidden" r:id="rId1"/>
    <sheet name="현황" sheetId="23" r:id="rId2"/>
    <sheet name="-" sheetId="56" r:id="rId3"/>
    <sheet name="세부내용" sheetId="1" r:id="rId4"/>
    <sheet name="선합지 일정" sheetId="48" r:id="rId5"/>
    <sheet name="AOI일정표" sheetId="58" state="hidden" r:id="rId6"/>
    <sheet name="OCA시범 운영" sheetId="2" state="hidden" r:id="rId7"/>
    <sheet name="PL시범 운영" sheetId="24" state="hidden" r:id="rId8"/>
    <sheet name="SUS시범 운영 " sheetId="26" state="hidden" r:id="rId9"/>
    <sheet name="DECO시범 운영" sheetId="27" state="hidden" r:id="rId10"/>
  </sheets>
  <definedNames>
    <definedName name="_xlnm._FilterDatabase" localSheetId="3" hidden="1">세부내용!$A$5:$BD$95</definedName>
    <definedName name="_xlnm.Print_Area" localSheetId="1">현황!$B$2:$P$70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 i="23" l="1"/>
  <c r="B14" i="27" l="1"/>
  <c r="B15" i="27" s="1"/>
  <c r="B16" i="27" s="1"/>
  <c r="B17" i="27" s="1"/>
  <c r="B18" i="27" s="1"/>
  <c r="B19" i="27" s="1"/>
  <c r="B20" i="27" s="1"/>
  <c r="B21" i="27" s="1"/>
  <c r="B22" i="27" s="1"/>
  <c r="B23" i="27" s="1"/>
  <c r="B24" i="27" s="1"/>
  <c r="B25" i="27" s="1"/>
  <c r="B26" i="27" s="1"/>
  <c r="B27" i="27" s="1"/>
  <c r="J12" i="27"/>
  <c r="K12" i="27" s="1"/>
  <c r="L12" i="27" s="1"/>
  <c r="M12" i="27" s="1"/>
  <c r="N12" i="27" s="1"/>
  <c r="O12" i="27" s="1"/>
  <c r="P12" i="27" s="1"/>
  <c r="Q12" i="27" s="1"/>
  <c r="R12" i="27" s="1"/>
  <c r="S12" i="27" s="1"/>
  <c r="T12" i="27" s="1"/>
  <c r="U12" i="27" s="1"/>
  <c r="V12" i="27" s="1"/>
  <c r="W12" i="27" s="1"/>
  <c r="X12" i="27" s="1"/>
  <c r="Y12" i="27" s="1"/>
  <c r="B14" i="26"/>
  <c r="B15" i="26" s="1"/>
  <c r="B16" i="26" s="1"/>
  <c r="B17" i="26" s="1"/>
  <c r="B18" i="26" s="1"/>
  <c r="B19" i="26" s="1"/>
  <c r="B20" i="26" s="1"/>
  <c r="B21" i="26" s="1"/>
  <c r="B22" i="26" s="1"/>
  <c r="B23" i="26" s="1"/>
  <c r="B24" i="26" s="1"/>
  <c r="B25" i="26" s="1"/>
  <c r="B26" i="26" s="1"/>
  <c r="K12" i="26"/>
  <c r="L12" i="26" s="1"/>
  <c r="M12" i="26" s="1"/>
  <c r="N12" i="26" s="1"/>
  <c r="O12" i="26" s="1"/>
  <c r="P12" i="26" s="1"/>
  <c r="Q12" i="26" s="1"/>
  <c r="R12" i="26" s="1"/>
  <c r="S12" i="26" s="1"/>
  <c r="T12" i="26" s="1"/>
  <c r="U12" i="26" s="1"/>
  <c r="V12" i="26" s="1"/>
  <c r="W12" i="26" s="1"/>
  <c r="X12" i="26" s="1"/>
  <c r="Y12" i="26" s="1"/>
  <c r="J12" i="26"/>
  <c r="B15" i="24"/>
  <c r="B16" i="24" s="1"/>
  <c r="B17" i="24" s="1"/>
  <c r="B18" i="24" s="1"/>
  <c r="B19" i="24" s="1"/>
  <c r="B20" i="24" s="1"/>
  <c r="B21" i="24" s="1"/>
  <c r="B22" i="24" s="1"/>
  <c r="B23" i="24" s="1"/>
  <c r="B24" i="24" s="1"/>
  <c r="B25" i="24" s="1"/>
  <c r="B26" i="24" s="1"/>
  <c r="B27" i="24" s="1"/>
  <c r="B14" i="24"/>
  <c r="J12" i="24"/>
  <c r="K12" i="24" s="1"/>
  <c r="L12" i="24" s="1"/>
  <c r="M12" i="24" s="1"/>
  <c r="N12" i="24" s="1"/>
  <c r="O12" i="24" s="1"/>
  <c r="P12" i="24" s="1"/>
  <c r="Q12" i="24" s="1"/>
  <c r="R12" i="24" s="1"/>
  <c r="S12" i="24" s="1"/>
  <c r="T12" i="24" s="1"/>
  <c r="U12" i="24" s="1"/>
  <c r="V12" i="24" s="1"/>
  <c r="W12" i="24" s="1"/>
  <c r="X12" i="24" s="1"/>
  <c r="Y12" i="24" s="1"/>
  <c r="Z12" i="24" s="1"/>
  <c r="AA12" i="24" s="1"/>
  <c r="AB12" i="24" s="1"/>
  <c r="AC12" i="24" s="1"/>
  <c r="AD12" i="24" s="1"/>
  <c r="AE12" i="24" s="1"/>
  <c r="AF12" i="24" s="1"/>
  <c r="AG12" i="24" s="1"/>
  <c r="AH12" i="24" s="1"/>
  <c r="AI12" i="24" s="1"/>
  <c r="AJ12" i="24" s="1"/>
  <c r="AK12" i="24" s="1"/>
  <c r="B33" i="2"/>
  <c r="B34" i="2" s="1"/>
  <c r="B35" i="2" s="1"/>
  <c r="B36" i="2" s="1"/>
  <c r="B37" i="2" s="1"/>
  <c r="B38" i="2" s="1"/>
  <c r="B39" i="2" s="1"/>
  <c r="B40" i="2" s="1"/>
  <c r="B41" i="2" s="1"/>
  <c r="B42" i="2" s="1"/>
  <c r="B43" i="2" s="1"/>
  <c r="B44" i="2" s="1"/>
  <c r="B45" i="2" s="1"/>
  <c r="B46" i="2" s="1"/>
  <c r="B47" i="2" s="1"/>
  <c r="J31" i="2"/>
  <c r="K31" i="2" s="1"/>
  <c r="L31" i="2" s="1"/>
  <c r="M31" i="2" s="1"/>
  <c r="N31" i="2" s="1"/>
  <c r="O31" i="2" s="1"/>
  <c r="P31" i="2" s="1"/>
  <c r="Q31" i="2" s="1"/>
  <c r="R31" i="2" s="1"/>
  <c r="S31" i="2" s="1"/>
  <c r="T31" i="2" s="1"/>
  <c r="U31" i="2" s="1"/>
  <c r="V31" i="2" s="1"/>
  <c r="B66" i="1"/>
  <c r="B67" i="1" s="1"/>
  <c r="B7" i="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6" i="1" s="1"/>
  <c r="B47" i="1" s="1"/>
  <c r="B48" i="1" s="1"/>
  <c r="B49" i="1" s="1"/>
  <c r="B50" i="1" s="1"/>
  <c r="B51" i="1" s="1"/>
  <c r="B52" i="1" s="1"/>
  <c r="B53" i="1" s="1"/>
  <c r="B54" i="1" s="1"/>
  <c r="B55" i="1" s="1"/>
  <c r="B56" i="1" s="1"/>
  <c r="B57" i="1" s="1"/>
  <c r="B58" i="1" s="1"/>
  <c r="B59" i="1" s="1"/>
  <c r="B60" i="1" s="1"/>
  <c r="B61" i="1" s="1"/>
  <c r="B62" i="1" s="1"/>
  <c r="B63" i="1" s="1"/>
  <c r="E7" i="23"/>
  <c r="D7" i="23"/>
  <c r="C7" i="23"/>
  <c r="G7" i="23" s="1"/>
  <c r="F6" i="23"/>
  <c r="G6" i="23" s="1"/>
  <c r="E6" i="23"/>
  <c r="D6" i="23"/>
  <c r="C6" i="23"/>
  <c r="F5" i="23"/>
  <c r="E5" i="23"/>
  <c r="D5" i="23"/>
  <c r="C5" i="23"/>
  <c r="C8" i="23" l="1"/>
  <c r="E8" i="23"/>
  <c r="D8" i="23"/>
  <c r="F8" i="23"/>
  <c r="G5" i="23"/>
  <c r="G8" i="2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SG-Public01</author>
  </authors>
  <commentList>
    <comment ref="R19" authorId="0" shapeId="0" xr:uid="{00000000-0006-0000-0700-000001000000}">
      <text>
        <r>
          <rPr>
            <b/>
            <sz val="9"/>
            <color indexed="81"/>
            <rFont val="돋움"/>
            <family val="3"/>
            <charset val="129"/>
          </rPr>
          <t>슬리팅</t>
        </r>
        <r>
          <rPr>
            <b/>
            <sz val="9"/>
            <color indexed="81"/>
            <rFont val="Tahoma"/>
            <family val="2"/>
          </rPr>
          <t xml:space="preserve"> </t>
        </r>
        <r>
          <rPr>
            <b/>
            <sz val="9"/>
            <color indexed="81"/>
            <rFont val="돋움"/>
            <family val="3"/>
            <charset val="129"/>
          </rPr>
          <t>문제로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지연</t>
        </r>
        <r>
          <rPr>
            <b/>
            <sz val="9"/>
            <color indexed="81"/>
            <rFont val="Tahoma"/>
            <family val="2"/>
          </rPr>
          <t xml:space="preserve"> </t>
        </r>
        <r>
          <rPr>
            <b/>
            <sz val="9"/>
            <color indexed="81"/>
            <rFont val="돋움"/>
            <family val="3"/>
            <charset val="129"/>
          </rPr>
          <t>발생</t>
        </r>
      </text>
    </comment>
  </commentList>
</comments>
</file>

<file path=xl/sharedStrings.xml><?xml version="1.0" encoding="utf-8"?>
<sst xmlns="http://schemas.openxmlformats.org/spreadsheetml/2006/main" count="2359" uniqueCount="1090">
  <si>
    <t xml:space="preserve"> ■ 신규 ERP /  ME전산 운영을 위한 일정</t>
    <phoneticPr fontId="1" type="noConversion"/>
  </si>
  <si>
    <t>품목</t>
    <phoneticPr fontId="1" type="noConversion"/>
  </si>
  <si>
    <t>기준정보등록</t>
    <phoneticPr fontId="1" type="noConversion"/>
  </si>
  <si>
    <t>오픈운영</t>
    <phoneticPr fontId="1" type="noConversion"/>
  </si>
  <si>
    <t>비고</t>
    <phoneticPr fontId="1" type="noConversion"/>
  </si>
  <si>
    <t>OCA</t>
    <phoneticPr fontId="1" type="noConversion"/>
  </si>
  <si>
    <t>3월 17일까지</t>
    <phoneticPr fontId="1" type="noConversion"/>
  </si>
  <si>
    <t>PL</t>
    <phoneticPr fontId="1" type="noConversion"/>
  </si>
  <si>
    <t>TAPE</t>
    <phoneticPr fontId="1" type="noConversion"/>
  </si>
  <si>
    <t>SUS</t>
    <phoneticPr fontId="1" type="noConversion"/>
  </si>
  <si>
    <t>DECO</t>
    <phoneticPr fontId="1" type="noConversion"/>
  </si>
  <si>
    <t>PCPMMA</t>
    <phoneticPr fontId="1" type="noConversion"/>
  </si>
  <si>
    <t>선합지</t>
    <phoneticPr fontId="1" type="noConversion"/>
  </si>
  <si>
    <t>No.</t>
    <phoneticPr fontId="1" type="noConversion"/>
  </si>
  <si>
    <t>부서</t>
    <phoneticPr fontId="1" type="noConversion"/>
  </si>
  <si>
    <t>내용</t>
    <phoneticPr fontId="1" type="noConversion"/>
  </si>
  <si>
    <t>상세내용</t>
    <phoneticPr fontId="1" type="noConversion"/>
  </si>
  <si>
    <t>일정</t>
  </si>
  <si>
    <t>3월3주</t>
    <phoneticPr fontId="1" type="noConversion"/>
  </si>
  <si>
    <t>3월4주</t>
    <phoneticPr fontId="1" type="noConversion"/>
  </si>
  <si>
    <t>3월5주</t>
  </si>
  <si>
    <t>4월1주</t>
    <phoneticPr fontId="1" type="noConversion"/>
  </si>
  <si>
    <t>4월2주</t>
  </si>
  <si>
    <t>4월3주</t>
  </si>
  <si>
    <t>4월4주</t>
  </si>
  <si>
    <t>5월1주</t>
    <phoneticPr fontId="1" type="noConversion"/>
  </si>
  <si>
    <t>5월2주</t>
  </si>
  <si>
    <t>5월3주</t>
  </si>
  <si>
    <t>5월4주</t>
  </si>
  <si>
    <t>5월5주</t>
  </si>
  <si>
    <t>6월1주</t>
    <phoneticPr fontId="1" type="noConversion"/>
  </si>
  <si>
    <t>생산</t>
    <phoneticPr fontId="1" type="noConversion"/>
  </si>
  <si>
    <t>사전점검</t>
    <phoneticPr fontId="1" type="noConversion"/>
  </si>
  <si>
    <t>국내향 모델로 사전점검 진행(SDI향 CODE ~ PACK 라벨 발행까지)</t>
    <phoneticPr fontId="1" type="noConversion"/>
  </si>
  <si>
    <t>완료</t>
    <phoneticPr fontId="1" type="noConversion"/>
  </si>
  <si>
    <t>생산</t>
    <phoneticPr fontId="1" type="noConversion"/>
  </si>
  <si>
    <t>모델선정</t>
    <phoneticPr fontId="1" type="noConversion"/>
  </si>
  <si>
    <t>전산 TEST 가동 예정 모델 선정 진행(생산팀 결정 필요) - 모델 NITTO 2종 선정 진행</t>
    <phoneticPr fontId="1" type="noConversion"/>
  </si>
  <si>
    <t>개발</t>
    <phoneticPr fontId="1" type="noConversion"/>
  </si>
  <si>
    <t>선정된 모델의 BOM 등록진행</t>
    <phoneticPr fontId="1" type="noConversion"/>
  </si>
  <si>
    <t>라우팅 구성 및 자품목 투입 설정 진행</t>
    <phoneticPr fontId="1" type="noConversion"/>
  </si>
  <si>
    <t>구매</t>
    <phoneticPr fontId="1" type="noConversion"/>
  </si>
  <si>
    <t>전산 자재 발주 및 입고 등록 진행(시범운영)</t>
    <phoneticPr fontId="1" type="noConversion"/>
  </si>
  <si>
    <t>선 진행 모델 투입 및 생산 실적 등록 진행(시범운영)</t>
    <phoneticPr fontId="1" type="noConversion"/>
  </si>
  <si>
    <t>품질</t>
    <phoneticPr fontId="1" type="noConversion"/>
  </si>
  <si>
    <t>금형관련</t>
    <phoneticPr fontId="1" type="noConversion"/>
  </si>
  <si>
    <t>라벨</t>
    <phoneticPr fontId="1" type="noConversion"/>
  </si>
  <si>
    <t>생산</t>
    <phoneticPr fontId="1" type="noConversion"/>
  </si>
  <si>
    <t>실적</t>
    <phoneticPr fontId="1" type="noConversion"/>
  </si>
  <si>
    <t>해당공정 위치로 커서 위치 될 수있도록</t>
    <phoneticPr fontId="1" type="noConversion"/>
  </si>
  <si>
    <t>실적 등록 및 라벨 발행 등록 진행(시범운영)</t>
    <phoneticPr fontId="1" type="noConversion"/>
  </si>
  <si>
    <t>공통</t>
    <phoneticPr fontId="1" type="noConversion"/>
  </si>
  <si>
    <t>시범운영(기초 정보 입력 / 모델선정 - 마킹 제외)</t>
    <phoneticPr fontId="1" type="noConversion"/>
  </si>
  <si>
    <t>준비</t>
    <phoneticPr fontId="1" type="noConversion"/>
  </si>
  <si>
    <t>등록진행</t>
    <phoneticPr fontId="1" type="noConversion"/>
  </si>
  <si>
    <t>발주</t>
    <phoneticPr fontId="1" type="noConversion"/>
  </si>
  <si>
    <t>발주서</t>
    <phoneticPr fontId="1" type="noConversion"/>
  </si>
  <si>
    <t>입고</t>
    <phoneticPr fontId="1" type="noConversion"/>
  </si>
  <si>
    <t>한건 발주 다중입고 진행시 입고편의 기능 추가 필요</t>
    <phoneticPr fontId="1" type="noConversion"/>
  </si>
  <si>
    <t>기준정보</t>
    <phoneticPr fontId="1" type="noConversion"/>
  </si>
  <si>
    <t>구매요청</t>
    <phoneticPr fontId="1" type="noConversion"/>
  </si>
  <si>
    <t>구매요청사항에 대해 업체 배분완료시 조회 화면에서 제외 및 별도 표기 필요(MRP 사용시)</t>
    <phoneticPr fontId="1" type="noConversion"/>
  </si>
  <si>
    <t>선합지</t>
    <phoneticPr fontId="1" type="noConversion"/>
  </si>
  <si>
    <t>PLC관련 연동 확인</t>
    <phoneticPr fontId="1" type="noConversion"/>
  </si>
  <si>
    <t>영업</t>
    <phoneticPr fontId="1" type="noConversion"/>
  </si>
  <si>
    <t>출하</t>
    <phoneticPr fontId="1" type="noConversion"/>
  </si>
  <si>
    <t>BOM</t>
    <phoneticPr fontId="1" type="noConversion"/>
  </si>
  <si>
    <t>PDA</t>
    <phoneticPr fontId="1" type="noConversion"/>
  </si>
  <si>
    <t>DECO, 
PCPMMA</t>
    <phoneticPr fontId="1" type="noConversion"/>
  </si>
  <si>
    <t>4월 10일 부터</t>
    <phoneticPr fontId="1" type="noConversion"/>
  </si>
  <si>
    <t>시범운영(기초 정보 입력 / 모델선정)</t>
    <phoneticPr fontId="1" type="noConversion"/>
  </si>
  <si>
    <t>고객사별 및 모델 라벨 타입 개발 진행</t>
    <phoneticPr fontId="1" type="noConversion"/>
  </si>
  <si>
    <t>라벨관련</t>
    <phoneticPr fontId="1" type="noConversion"/>
  </si>
  <si>
    <t>BL입고</t>
    <phoneticPr fontId="1" type="noConversion"/>
  </si>
  <si>
    <t>BL입고시 다중 PO건에 대해 조회 및 선택 가능하도록 추가로 입고시 변경되는 품목코드에 대해 반영 필요 (필요 그림은 접수 예정)</t>
    <phoneticPr fontId="1" type="noConversion"/>
  </si>
  <si>
    <t>마킹</t>
    <phoneticPr fontId="1" type="noConversion"/>
  </si>
  <si>
    <t>폴더블용 마킹프로그램</t>
    <phoneticPr fontId="1" type="noConversion"/>
  </si>
  <si>
    <t>마킹</t>
    <phoneticPr fontId="1" type="noConversion"/>
  </si>
  <si>
    <t>마킹장비 연동 TEST</t>
    <phoneticPr fontId="1" type="noConversion"/>
  </si>
  <si>
    <t>DECO DM마킹용 프로그램</t>
    <phoneticPr fontId="1" type="noConversion"/>
  </si>
  <si>
    <t>POP프로그램</t>
    <phoneticPr fontId="1" type="noConversion"/>
  </si>
  <si>
    <t>EDI 관련 확인</t>
    <phoneticPr fontId="1" type="noConversion"/>
  </si>
  <si>
    <t>레이블</t>
    <phoneticPr fontId="1" type="noConversion"/>
  </si>
  <si>
    <t>언어 싱크(베트남어 레이블)</t>
    <phoneticPr fontId="1" type="noConversion"/>
  </si>
  <si>
    <t>-</t>
    <phoneticPr fontId="1" type="noConversion"/>
  </si>
  <si>
    <t>OCA 오픈운영</t>
    <phoneticPr fontId="1" type="noConversion"/>
  </si>
  <si>
    <t xml:space="preserve"> </t>
    <phoneticPr fontId="1" type="noConversion"/>
  </si>
  <si>
    <t>공통</t>
    <phoneticPr fontId="1" type="noConversion"/>
  </si>
  <si>
    <t>오픈운영</t>
    <phoneticPr fontId="1" type="noConversion"/>
  </si>
  <si>
    <t>공통</t>
    <phoneticPr fontId="1" type="noConversion"/>
  </si>
  <si>
    <t>시범운영(기초 정보 입력 / 모델선정)</t>
    <phoneticPr fontId="1" type="noConversion"/>
  </si>
  <si>
    <t>준비</t>
    <phoneticPr fontId="1" type="noConversion"/>
  </si>
  <si>
    <t>선합지</t>
    <phoneticPr fontId="1" type="noConversion"/>
  </si>
  <si>
    <t>재고실사</t>
    <phoneticPr fontId="1" type="noConversion"/>
  </si>
  <si>
    <t>-</t>
    <phoneticPr fontId="1" type="noConversion"/>
  </si>
  <si>
    <t>LJ63-21457A</t>
    <phoneticPr fontId="1" type="noConversion"/>
  </si>
  <si>
    <t>6302L-0144G</t>
    <phoneticPr fontId="1" type="noConversion"/>
  </si>
  <si>
    <t>LGD</t>
    <phoneticPr fontId="1" type="noConversion"/>
  </si>
  <si>
    <t>SDV</t>
    <phoneticPr fontId="1" type="noConversion"/>
  </si>
  <si>
    <t>최종고객</t>
    <phoneticPr fontId="1" type="noConversion"/>
  </si>
  <si>
    <t>고객</t>
    <phoneticPr fontId="1" type="noConversion"/>
  </si>
  <si>
    <t>NITTO</t>
    <phoneticPr fontId="1" type="noConversion"/>
  </si>
  <si>
    <t>제품코드</t>
    <phoneticPr fontId="1" type="noConversion"/>
  </si>
  <si>
    <t>PM02OC-2211-011</t>
  </si>
  <si>
    <t>PM02OC-2211-004</t>
  </si>
  <si>
    <t>ERP 코드</t>
    <phoneticPr fontId="1" type="noConversion"/>
  </si>
  <si>
    <t>현재상태</t>
    <phoneticPr fontId="1" type="noConversion"/>
  </si>
  <si>
    <t>라우팅</t>
    <phoneticPr fontId="1" type="noConversion"/>
  </si>
  <si>
    <t>자품목</t>
    <phoneticPr fontId="1" type="noConversion"/>
  </si>
  <si>
    <t>자재준비</t>
    <phoneticPr fontId="1" type="noConversion"/>
  </si>
  <si>
    <t>제조오더</t>
    <phoneticPr fontId="1" type="noConversion"/>
  </si>
  <si>
    <t>수주등록</t>
    <phoneticPr fontId="1" type="noConversion"/>
  </si>
  <si>
    <t>O</t>
    <phoneticPr fontId="1" type="noConversion"/>
  </si>
  <si>
    <t>코드등록</t>
    <phoneticPr fontId="1" type="noConversion"/>
  </si>
  <si>
    <t>수정필요</t>
    <phoneticPr fontId="1" type="noConversion"/>
  </si>
  <si>
    <t>X</t>
    <phoneticPr fontId="1" type="noConversion"/>
  </si>
  <si>
    <t>1. 3월 14일 기준</t>
    <phoneticPr fontId="1" type="noConversion"/>
  </si>
  <si>
    <t>일괄 발주(MULTI 발주) 관련 등록의 건</t>
    <phoneticPr fontId="1" type="noConversion"/>
  </si>
  <si>
    <t>확인 필요</t>
    <phoneticPr fontId="1" type="noConversion"/>
  </si>
  <si>
    <t>일부수정필요</t>
    <phoneticPr fontId="1" type="noConversion"/>
  </si>
  <si>
    <t>조회화면에서 LIKE 부분 추가 확인</t>
    <phoneticPr fontId="1" type="noConversion"/>
  </si>
  <si>
    <t>PACK 라벨 및 부수적인 라벨 발행 이력 조회 화면 추가</t>
    <phoneticPr fontId="1" type="noConversion"/>
  </si>
  <si>
    <t>조회</t>
    <phoneticPr fontId="1" type="noConversion"/>
  </si>
  <si>
    <t>구분</t>
    <phoneticPr fontId="1" type="noConversion"/>
  </si>
  <si>
    <t>출하</t>
    <phoneticPr fontId="1" type="noConversion"/>
  </si>
  <si>
    <t>ERP</t>
    <phoneticPr fontId="1" type="noConversion"/>
  </si>
  <si>
    <t xml:space="preserve"> *  Roll / MT 단위에 대한 입력 현황 조정 필요</t>
    <phoneticPr fontId="1" type="noConversion"/>
  </si>
  <si>
    <t>출하 작업시 커서 포인트 위치 고정(연속 등록 작업시) - PDA 조정</t>
    <phoneticPr fontId="1" type="noConversion"/>
  </si>
  <si>
    <t>SP개발중</t>
    <phoneticPr fontId="1" type="noConversion"/>
  </si>
  <si>
    <t>적용시작</t>
    <phoneticPr fontId="1" type="noConversion"/>
  </si>
  <si>
    <t>6302L-0144B</t>
    <phoneticPr fontId="1" type="noConversion"/>
  </si>
  <si>
    <t>LJ63-21457B</t>
    <phoneticPr fontId="1" type="noConversion"/>
  </si>
  <si>
    <t>2. 3월 15일 기준</t>
    <phoneticPr fontId="1" type="noConversion"/>
  </si>
  <si>
    <t>3. 3월 20일 기준</t>
    <phoneticPr fontId="1" type="noConversion"/>
  </si>
  <si>
    <t>라벨개발</t>
    <phoneticPr fontId="1" type="noConversion"/>
  </si>
  <si>
    <t>PM02OC-2211-005</t>
  </si>
  <si>
    <t xml:space="preserve">  * 최종 코드 반영</t>
    <phoneticPr fontId="1" type="noConversion"/>
  </si>
  <si>
    <t xml:space="preserve">  * 자재준비는 우선 기타입고로 반영 진행하여 생산 반영 진행 OR 정상 입고 진행 확인 진행</t>
    <phoneticPr fontId="1" type="noConversion"/>
  </si>
  <si>
    <t>NO.</t>
    <phoneticPr fontId="1" type="noConversion"/>
  </si>
  <si>
    <t>내용</t>
    <phoneticPr fontId="1" type="noConversion"/>
  </si>
  <si>
    <t>일정</t>
    <phoneticPr fontId="1" type="noConversion"/>
  </si>
  <si>
    <t>자재준비</t>
    <phoneticPr fontId="1" type="noConversion"/>
  </si>
  <si>
    <t>BOM 재 등록</t>
    <phoneticPr fontId="1" type="noConversion"/>
  </si>
  <si>
    <t>전체코드 재등록?</t>
    <phoneticPr fontId="1" type="noConversion"/>
  </si>
  <si>
    <t>진행여부 확인필요</t>
    <phoneticPr fontId="1" type="noConversion"/>
  </si>
  <si>
    <t>제조오더</t>
    <phoneticPr fontId="1" type="noConversion"/>
  </si>
  <si>
    <t>생산진행</t>
    <phoneticPr fontId="1" type="noConversion"/>
  </si>
  <si>
    <t>비고</t>
    <phoneticPr fontId="1" type="noConversion"/>
  </si>
  <si>
    <t>자재준비</t>
    <phoneticPr fontId="1" type="noConversion"/>
  </si>
  <si>
    <t>구매 발주부터 진행하여 반영(가상)</t>
    <phoneticPr fontId="1" type="noConversion"/>
  </si>
  <si>
    <t>라벨개발</t>
    <phoneticPr fontId="1" type="noConversion"/>
  </si>
  <si>
    <t>3/25~</t>
    <phoneticPr fontId="1" type="noConversion"/>
  </si>
  <si>
    <t>추가문제점 확인 및 조치</t>
    <phoneticPr fontId="1" type="noConversion"/>
  </si>
  <si>
    <t>재고조사 기준 반영</t>
    <phoneticPr fontId="1" type="noConversion"/>
  </si>
  <si>
    <t>3/31~4/1</t>
    <phoneticPr fontId="1" type="noConversion"/>
  </si>
  <si>
    <t>추가 코드 점진적 진행</t>
    <phoneticPr fontId="1" type="noConversion"/>
  </si>
  <si>
    <t>4/5~</t>
    <phoneticPr fontId="1" type="noConversion"/>
  </si>
  <si>
    <t>일정 재확인 필요</t>
    <phoneticPr fontId="1" type="noConversion"/>
  </si>
  <si>
    <t>BOM등록 교육</t>
    <phoneticPr fontId="1" type="noConversion"/>
  </si>
  <si>
    <t>BOM이후 확인 진행</t>
    <phoneticPr fontId="1" type="noConversion"/>
  </si>
  <si>
    <t>■ 진행 일정</t>
    <phoneticPr fontId="1" type="noConversion"/>
  </si>
  <si>
    <t>실 재고 반영</t>
    <phoneticPr fontId="1" type="noConversion"/>
  </si>
  <si>
    <t>오전(추가 문제있을 시 확인)
검증 프로세스에 대해 기준 필요</t>
    <phoneticPr fontId="1" type="noConversion"/>
  </si>
  <si>
    <t xml:space="preserve">금형등록 </t>
    <phoneticPr fontId="1" type="noConversion"/>
  </si>
  <si>
    <t>1line 금형 등록 및 라벨 출력</t>
    <phoneticPr fontId="1" type="noConversion"/>
  </si>
  <si>
    <t>O</t>
    <phoneticPr fontId="1" type="noConversion"/>
  </si>
  <si>
    <t>1LINE만 전산 동시 운영진행</t>
    <phoneticPr fontId="1" type="noConversion"/>
  </si>
  <si>
    <t>우선 기타입고 반영(MR기준)
구전산과 동시 진행</t>
    <phoneticPr fontId="1" type="noConversion"/>
  </si>
  <si>
    <t>수불부 교육</t>
    <phoneticPr fontId="1" type="noConversion"/>
  </si>
  <si>
    <t>조회화면</t>
    <phoneticPr fontId="1" type="noConversion"/>
  </si>
  <si>
    <t>수불부 조회 화면상 표기 내용 확인 필요</t>
    <phoneticPr fontId="1" type="noConversion"/>
  </si>
  <si>
    <t>구분</t>
    <phoneticPr fontId="1" type="noConversion"/>
  </si>
  <si>
    <t xml:space="preserve"> ERP</t>
    <phoneticPr fontId="1" type="noConversion"/>
  </si>
  <si>
    <t>MES</t>
    <phoneticPr fontId="1" type="noConversion"/>
  </si>
  <si>
    <t>ERP</t>
    <phoneticPr fontId="1" type="noConversion"/>
  </si>
  <si>
    <t>MES</t>
    <phoneticPr fontId="1" type="noConversion"/>
  </si>
  <si>
    <t>ERP/MES</t>
    <phoneticPr fontId="1" type="noConversion"/>
  </si>
  <si>
    <t>POP</t>
    <phoneticPr fontId="1" type="noConversion"/>
  </si>
  <si>
    <t>ERP/MES</t>
    <phoneticPr fontId="1" type="noConversion"/>
  </si>
  <si>
    <t>MES</t>
    <phoneticPr fontId="1" type="noConversion"/>
  </si>
  <si>
    <t>ERP/MES</t>
    <phoneticPr fontId="1" type="noConversion"/>
  </si>
  <si>
    <t>ERP</t>
    <phoneticPr fontId="1" type="noConversion"/>
  </si>
  <si>
    <t>MES</t>
    <phoneticPr fontId="1" type="noConversion"/>
  </si>
  <si>
    <t>ERP</t>
    <phoneticPr fontId="1" type="noConversion"/>
  </si>
  <si>
    <t>ERP</t>
    <phoneticPr fontId="1" type="noConversion"/>
  </si>
  <si>
    <t>MES</t>
    <phoneticPr fontId="1" type="noConversion"/>
  </si>
  <si>
    <t>PDA</t>
    <phoneticPr fontId="1" type="noConversion"/>
  </si>
  <si>
    <t>ERP/MES</t>
    <phoneticPr fontId="1" type="noConversion"/>
  </si>
  <si>
    <t>오후 재등록 BOM확인</t>
    <phoneticPr fontId="1" type="noConversion"/>
  </si>
  <si>
    <t>SP개발완료및TEST 
견적 접수 요청</t>
    <phoneticPr fontId="1" type="noConversion"/>
  </si>
  <si>
    <t>마킹</t>
    <phoneticPr fontId="1" type="noConversion"/>
  </si>
  <si>
    <t>슬리팅</t>
    <phoneticPr fontId="1" type="noConversion"/>
  </si>
  <si>
    <t>같은 LOT일때 품번이 다른경우나 폭이 다른경우도 같이 조회 진행 - 다중 호기 작업 진행시 문제 소지 있음</t>
    <phoneticPr fontId="1" type="noConversion"/>
  </si>
  <si>
    <t>자재요청</t>
    <phoneticPr fontId="1" type="noConversion"/>
  </si>
  <si>
    <t>ERP 자재요청시 BOM으로 전개 진행시 REV에 따른 변경 안됨</t>
    <phoneticPr fontId="1" type="noConversion"/>
  </si>
  <si>
    <t>ERP 자재요청으로 처리시 NG발생 자재 수동으로 자재 이동진행 시 정상 진행 됨</t>
    <phoneticPr fontId="1" type="noConversion"/>
  </si>
  <si>
    <t>사전simulation</t>
    <phoneticPr fontId="1" type="noConversion"/>
  </si>
  <si>
    <t>3/24~</t>
    <phoneticPr fontId="1" type="noConversion"/>
  </si>
  <si>
    <t>미 개발 부분 외 문제점 확인</t>
    <phoneticPr fontId="1" type="noConversion"/>
  </si>
  <si>
    <t>전산등록 관련 교육</t>
    <phoneticPr fontId="1" type="noConversion"/>
  </si>
  <si>
    <t>실적 진행을 위한 추가 교육</t>
    <phoneticPr fontId="1" type="noConversion"/>
  </si>
  <si>
    <t>금형 interlock</t>
    <phoneticPr fontId="1" type="noConversion"/>
  </si>
  <si>
    <t>금형관리를 통한 인터락기능 활성</t>
    <phoneticPr fontId="1" type="noConversion"/>
  </si>
  <si>
    <t>교육완료-입고진행</t>
    <phoneticPr fontId="1" type="noConversion"/>
  </si>
  <si>
    <t>교육및 등록완료</t>
    <phoneticPr fontId="1" type="noConversion"/>
  </si>
  <si>
    <t>3/17~3/23</t>
    <phoneticPr fontId="1" type="noConversion"/>
  </si>
  <si>
    <t>개발 중</t>
  </si>
  <si>
    <t>개발 중</t>
    <phoneticPr fontId="1" type="noConversion"/>
  </si>
  <si>
    <t>개발진행</t>
    <phoneticPr fontId="1" type="noConversion"/>
  </si>
  <si>
    <t>재교육진행</t>
    <phoneticPr fontId="1" type="noConversion"/>
  </si>
  <si>
    <t>3/23~3/27</t>
    <phoneticPr fontId="1" type="noConversion"/>
  </si>
  <si>
    <t>NITTO 활용관련 하여 교육진행 2회진행</t>
    <phoneticPr fontId="1" type="noConversion"/>
  </si>
  <si>
    <t xml:space="preserve">  * 타발불량 관련 내역 수불부에 표시(별도 불량명 관리 진행)_</t>
    <phoneticPr fontId="1" type="noConversion"/>
  </si>
  <si>
    <t>구매입고</t>
    <phoneticPr fontId="1" type="noConversion"/>
  </si>
  <si>
    <t>자재 정상 구매입고 진행시 유효기간에 대해 자재 설정값 지정반영 토톡 요청</t>
    <phoneticPr fontId="1" type="noConversion"/>
  </si>
  <si>
    <t>`</t>
    <phoneticPr fontId="1" type="noConversion"/>
  </si>
  <si>
    <t>재 교육 완료</t>
    <phoneticPr fontId="1" type="noConversion"/>
  </si>
  <si>
    <t>입고진행</t>
    <phoneticPr fontId="1" type="noConversion"/>
  </si>
  <si>
    <t xml:space="preserve">  * 신규ERP 진행 관련 오전 정기 미팅 진행</t>
    <phoneticPr fontId="1" type="noConversion"/>
  </si>
  <si>
    <t>우선순위</t>
    <phoneticPr fontId="1" type="noConversion"/>
  </si>
  <si>
    <t>구매 최소수량 단위 기입내용 활용 범위 확인 및 적용 필요</t>
    <phoneticPr fontId="1" type="noConversion"/>
  </si>
  <si>
    <t>협의필요</t>
    <phoneticPr fontId="1" type="noConversion"/>
  </si>
  <si>
    <t>MES</t>
    <phoneticPr fontId="1" type="noConversion"/>
  </si>
  <si>
    <t>X</t>
  </si>
  <si>
    <t>O</t>
  </si>
  <si>
    <t>조회</t>
    <phoneticPr fontId="1" type="noConversion"/>
  </si>
  <si>
    <t>금형 LOT 별 실적 표기 확인</t>
    <phoneticPr fontId="1" type="noConversion"/>
  </si>
  <si>
    <t>샘플 / 양산 금형 구분 관리 기능 추가 - PINACLE 에 대해서 별도 코드화 하여 진행</t>
    <phoneticPr fontId="1" type="noConversion"/>
  </si>
  <si>
    <t>△</t>
  </si>
  <si>
    <t>△</t>
    <phoneticPr fontId="1" type="noConversion"/>
  </si>
  <si>
    <t>대분류</t>
    <phoneticPr fontId="1" type="noConversion"/>
  </si>
  <si>
    <t>FLOW</t>
  </si>
  <si>
    <t>FLOW</t>
    <phoneticPr fontId="1" type="noConversion"/>
  </si>
  <si>
    <t>개발</t>
  </si>
  <si>
    <t>개발</t>
    <phoneticPr fontId="1" type="noConversion"/>
  </si>
  <si>
    <t>개선</t>
  </si>
  <si>
    <t>개선</t>
    <phoneticPr fontId="1" type="noConversion"/>
  </si>
  <si>
    <t>개선</t>
    <phoneticPr fontId="1" type="noConversion"/>
  </si>
  <si>
    <t>개선</t>
    <phoneticPr fontId="1" type="noConversion"/>
  </si>
  <si>
    <t>개선</t>
    <phoneticPr fontId="1" type="noConversion"/>
  </si>
  <si>
    <t>전체 재고 확인을 위한 재고 검토 진행 (다량의 재고 실사 진행시 문제점 도출)</t>
    <phoneticPr fontId="1" type="noConversion"/>
  </si>
  <si>
    <t>개선</t>
    <phoneticPr fontId="1" type="noConversion"/>
  </si>
  <si>
    <t>개발</t>
    <phoneticPr fontId="1" type="noConversion"/>
  </si>
  <si>
    <t>개선</t>
    <phoneticPr fontId="1" type="noConversion"/>
  </si>
  <si>
    <t>개선</t>
    <phoneticPr fontId="1" type="noConversion"/>
  </si>
  <si>
    <t>개선</t>
    <phoneticPr fontId="1" type="noConversion"/>
  </si>
  <si>
    <t>개선</t>
    <phoneticPr fontId="1" type="noConversion"/>
  </si>
  <si>
    <t>자재PO</t>
    <phoneticPr fontId="1" type="noConversion"/>
  </si>
  <si>
    <t>채번</t>
    <phoneticPr fontId="1" type="noConversion"/>
  </si>
  <si>
    <t>금형</t>
    <phoneticPr fontId="1" type="noConversion"/>
  </si>
  <si>
    <t>영업PO</t>
    <phoneticPr fontId="1" type="noConversion"/>
  </si>
  <si>
    <t>생산PO</t>
    <phoneticPr fontId="1" type="noConversion"/>
  </si>
  <si>
    <t>라벨</t>
    <phoneticPr fontId="1" type="noConversion"/>
  </si>
  <si>
    <t>출하</t>
    <phoneticPr fontId="1" type="noConversion"/>
  </si>
  <si>
    <t>▲</t>
    <phoneticPr fontId="1" type="noConversion"/>
  </si>
  <si>
    <t>구분</t>
    <phoneticPr fontId="1" type="noConversion"/>
  </si>
  <si>
    <t>시범운영</t>
    <phoneticPr fontId="1" type="noConversion"/>
  </si>
  <si>
    <t>정상운영</t>
    <phoneticPr fontId="1" type="noConversion"/>
  </si>
  <si>
    <t>선합지</t>
    <phoneticPr fontId="1" type="noConversion"/>
  </si>
  <si>
    <t>시범운영</t>
    <phoneticPr fontId="1" type="noConversion"/>
  </si>
  <si>
    <t>정상운영</t>
    <phoneticPr fontId="1" type="noConversion"/>
  </si>
  <si>
    <t>X</t>
    <phoneticPr fontId="1" type="noConversion"/>
  </si>
  <si>
    <t>서버</t>
    <phoneticPr fontId="1" type="noConversion"/>
  </si>
  <si>
    <t>문제사항</t>
    <phoneticPr fontId="1" type="noConversion"/>
  </si>
  <si>
    <t>해결방안</t>
    <phoneticPr fontId="1" type="noConversion"/>
  </si>
  <si>
    <t>채번오류</t>
    <phoneticPr fontId="1" type="noConversion"/>
  </si>
  <si>
    <t>PDA 프로그램 및 활용을 위한 PDA 부족</t>
    <phoneticPr fontId="1" type="noConversion"/>
  </si>
  <si>
    <t>완료여부</t>
    <phoneticPr fontId="1" type="noConversion"/>
  </si>
  <si>
    <t>Flow</t>
    <phoneticPr fontId="1" type="noConversion"/>
  </si>
  <si>
    <t>개발</t>
    <phoneticPr fontId="1" type="noConversion"/>
  </si>
  <si>
    <t>개선</t>
    <phoneticPr fontId="1" type="noConversion"/>
  </si>
  <si>
    <t>구분</t>
    <phoneticPr fontId="1" type="noConversion"/>
  </si>
  <si>
    <t>예정</t>
    <phoneticPr fontId="1" type="noConversion"/>
  </si>
  <si>
    <t>진행중</t>
    <phoneticPr fontId="1" type="noConversion"/>
  </si>
  <si>
    <t>진척율</t>
    <phoneticPr fontId="1" type="noConversion"/>
  </si>
  <si>
    <t>총항목</t>
    <phoneticPr fontId="1" type="noConversion"/>
  </si>
  <si>
    <t>합계</t>
    <phoneticPr fontId="1" type="noConversion"/>
  </si>
  <si>
    <t xml:space="preserve">       * 개발 / 개선 항목은 운영 진행간 추가 예상</t>
    <phoneticPr fontId="1" type="noConversion"/>
  </si>
  <si>
    <t>. Test DB활용하여 제품 채번 부터 BOM, 라우팅까지
  신규 등록 진행
. 위 완료 후 본 서버 DB 삭제 후 업데이트 진행
  (단 이전 생산이력은 삭제 됨)</t>
    <phoneticPr fontId="1" type="noConversion"/>
  </si>
  <si>
    <t>TEST예정</t>
    <phoneticPr fontId="1" type="noConversion"/>
  </si>
  <si>
    <t>SDV</t>
    <phoneticPr fontId="1" type="noConversion"/>
  </si>
  <si>
    <t>PM04PL-2211-003</t>
  </si>
  <si>
    <t>다단계 구조 추가 교육진행</t>
    <phoneticPr fontId="1" type="noConversion"/>
  </si>
  <si>
    <t>3/24, 3/31</t>
    <phoneticPr fontId="1" type="noConversion"/>
  </si>
  <si>
    <t>3/31~</t>
    <phoneticPr fontId="1" type="noConversion"/>
  </si>
  <si>
    <t>재등록 BOM확인</t>
    <phoneticPr fontId="1" type="noConversion"/>
  </si>
  <si>
    <t>라우팅 재교육</t>
    <phoneticPr fontId="1" type="noConversion"/>
  </si>
  <si>
    <t>라우팅 재등록</t>
    <phoneticPr fontId="1" type="noConversion"/>
  </si>
  <si>
    <t>4/4~</t>
    <phoneticPr fontId="1" type="noConversion"/>
  </si>
  <si>
    <t>변경된 PROCESS 기준 등록 교육</t>
    <phoneticPr fontId="1" type="noConversion"/>
  </si>
  <si>
    <t>구전산과 동시 진행</t>
    <phoneticPr fontId="1" type="noConversion"/>
  </si>
  <si>
    <t>1품목 진행</t>
    <phoneticPr fontId="1" type="noConversion"/>
  </si>
  <si>
    <t>별도 개발 진행 필요(기간확인중)</t>
    <phoneticPr fontId="1" type="noConversion"/>
  </si>
  <si>
    <t>4/4~</t>
    <phoneticPr fontId="1" type="noConversion"/>
  </si>
  <si>
    <t>확인중</t>
    <phoneticPr fontId="1" type="noConversion"/>
  </si>
  <si>
    <t>4/6~</t>
    <phoneticPr fontId="1" type="noConversion"/>
  </si>
  <si>
    <t>4/7~</t>
    <phoneticPr fontId="1" type="noConversion"/>
  </si>
  <si>
    <t>4/12~</t>
    <phoneticPr fontId="1" type="noConversion"/>
  </si>
  <si>
    <t>HM04PF-2211-001</t>
  </si>
  <si>
    <t>HM04PF-2211-002</t>
  </si>
  <si>
    <t>LJ64-06562A_Easy_LINER</t>
    <phoneticPr fontId="1" type="noConversion"/>
  </si>
  <si>
    <t>LJ64-06562A_Heavy_LINER</t>
    <phoneticPr fontId="1" type="noConversion"/>
  </si>
  <si>
    <t>자재라벨 적용</t>
    <phoneticPr fontId="1" type="noConversion"/>
  </si>
  <si>
    <t>실적입력</t>
    <phoneticPr fontId="1" type="noConversion"/>
  </si>
  <si>
    <t>실적 입력시 각 공정별 셋팅 기록 값 입력 진행 - 작업일보 개념</t>
    <phoneticPr fontId="1" type="noConversion"/>
  </si>
  <si>
    <t>X</t>
    <phoneticPr fontId="1" type="noConversion"/>
  </si>
  <si>
    <t>제품CODE</t>
    <phoneticPr fontId="1" type="noConversion"/>
  </si>
  <si>
    <t>ERP CODE</t>
    <phoneticPr fontId="1" type="noConversion"/>
  </si>
  <si>
    <t>-</t>
    <phoneticPr fontId="1" type="noConversion"/>
  </si>
  <si>
    <t>-</t>
    <phoneticPr fontId="1" type="noConversion"/>
  </si>
  <si>
    <t>-</t>
    <phoneticPr fontId="1" type="noConversion"/>
  </si>
  <si>
    <t>●</t>
    <phoneticPr fontId="1" type="noConversion"/>
  </si>
  <si>
    <t>프로그램
설치오류</t>
    <phoneticPr fontId="1" type="noConversion"/>
  </si>
  <si>
    <t>금형 모델별 지정사용 진행 (해당 모델에는 지정 모델의 칼 금형만 사용 가능)</t>
    <phoneticPr fontId="1" type="noConversion"/>
  </si>
  <si>
    <t>-</t>
    <phoneticPr fontId="1" type="noConversion"/>
  </si>
  <si>
    <t>적용완료</t>
    <phoneticPr fontId="1" type="noConversion"/>
  </si>
  <si>
    <t>PM01CA-2211-167</t>
  </si>
  <si>
    <t>3300L-0808B</t>
  </si>
  <si>
    <t>제품명</t>
    <phoneticPr fontId="1" type="noConversion"/>
  </si>
  <si>
    <t>중라벨 관련 개발 필요(nitto 향) - 잔금문제로 인한 일정 delay</t>
    <phoneticPr fontId="1" type="noConversion"/>
  </si>
  <si>
    <t>일정 지연</t>
    <phoneticPr fontId="1" type="noConversion"/>
  </si>
  <si>
    <t>기 진행중인 개발항목 전체 일정 지연 진행</t>
    <phoneticPr fontId="1" type="noConversion"/>
  </si>
  <si>
    <t>BOM변경으로
CODE 수정진행</t>
    <phoneticPr fontId="1" type="noConversion"/>
  </si>
  <si>
    <t>-</t>
    <phoneticPr fontId="1" type="noConversion"/>
  </si>
  <si>
    <t>LJ63-20877D</t>
  </si>
  <si>
    <t>PM02OC-2211-006</t>
  </si>
  <si>
    <t>-</t>
    <phoneticPr fontId="1" type="noConversion"/>
  </si>
  <si>
    <t>-</t>
    <phoneticPr fontId="1" type="noConversion"/>
  </si>
  <si>
    <t>LJ64-06562A</t>
  </si>
  <si>
    <t>재독려
필요</t>
    <phoneticPr fontId="1" type="noConversion"/>
  </si>
  <si>
    <t>실적
미진행</t>
    <phoneticPr fontId="1" type="noConversion"/>
  </si>
  <si>
    <t>`</t>
    <phoneticPr fontId="1" type="noConversion"/>
  </si>
  <si>
    <t>o</t>
    <phoneticPr fontId="1" type="noConversion"/>
  </si>
  <si>
    <t>. POP에서도 ERP와 같은 IP 변경형태 목록 생성하여 진행 할 필요
  있음
. 임시 개방하여 프로그램 설치 후 확인 진행 필요</t>
    <phoneticPr fontId="1" type="noConversion"/>
  </si>
  <si>
    <t>520  GREEN</t>
    <phoneticPr fontId="1" type="noConversion"/>
  </si>
  <si>
    <t xml:space="preserve">  * 반제품화 진행여부는 확인 필요</t>
    <phoneticPr fontId="1" type="noConversion"/>
  </si>
  <si>
    <t>HM01CA-2211-001</t>
  </si>
  <si>
    <t>HM01CA-2211-002</t>
  </si>
  <si>
    <t>TOP DJ 3300L-0808B</t>
  </si>
  <si>
    <t>BTM DJ 3300L-0808B</t>
  </si>
  <si>
    <t>LGDISPLAY</t>
    <phoneticPr fontId="1" type="noConversion"/>
  </si>
  <si>
    <t>LGDISPLAY</t>
    <phoneticPr fontId="1" type="noConversion"/>
  </si>
  <si>
    <t>●</t>
    <phoneticPr fontId="1" type="noConversion"/>
  </si>
  <si>
    <t>생산미진행</t>
    <phoneticPr fontId="1" type="noConversion"/>
  </si>
  <si>
    <t>O</t>
    <phoneticPr fontId="1" type="noConversion"/>
  </si>
  <si>
    <t>라우팅/생산 재교육</t>
    <phoneticPr fontId="1" type="noConversion"/>
  </si>
  <si>
    <t>~4/13</t>
    <phoneticPr fontId="1" type="noConversion"/>
  </si>
  <si>
    <t>기존 내용 점검</t>
    <phoneticPr fontId="1" type="noConversion"/>
  </si>
  <si>
    <t>5월초 반영</t>
    <phoneticPr fontId="1" type="noConversion"/>
  </si>
  <si>
    <t>운영 DB RESET 후 진행</t>
    <phoneticPr fontId="1" type="noConversion"/>
  </si>
  <si>
    <t>-</t>
    <phoneticPr fontId="1" type="noConversion"/>
  </si>
  <si>
    <t>-</t>
    <phoneticPr fontId="1" type="noConversion"/>
  </si>
  <si>
    <t>~4/15</t>
    <phoneticPr fontId="1" type="noConversion"/>
  </si>
  <si>
    <t>구 전산과 동시 진행
라벨 라인투입진행</t>
    <phoneticPr fontId="1" type="noConversion"/>
  </si>
  <si>
    <t>1품목 진행</t>
    <phoneticPr fontId="1" type="noConversion"/>
  </si>
  <si>
    <t>구매교육(CODE~발주)</t>
    <phoneticPr fontId="1" type="noConversion"/>
  </si>
  <si>
    <t>4/17~</t>
    <phoneticPr fontId="1" type="noConversion"/>
  </si>
  <si>
    <t>1. 현재 기준(0411)</t>
    <phoneticPr fontId="1" type="noConversion"/>
  </si>
  <si>
    <t>1. 현재 기준(0411)</t>
    <phoneticPr fontId="1" type="noConversion"/>
  </si>
  <si>
    <t>1. 현재 기준(0411)</t>
    <phoneticPr fontId="1" type="noConversion"/>
  </si>
  <si>
    <t>1. 현재 기준(0411)</t>
    <phoneticPr fontId="1" type="noConversion"/>
  </si>
  <si>
    <t>발주서 상 ROLL 및 SQM 표기 진행 필요 - 요청 화면은 정리 진행</t>
    <phoneticPr fontId="1" type="noConversion"/>
  </si>
  <si>
    <t>개발중</t>
    <phoneticPr fontId="1" type="noConversion"/>
  </si>
  <si>
    <t>실적입력시 투입자재 자재 품목명 표기</t>
    <phoneticPr fontId="1" type="noConversion"/>
  </si>
  <si>
    <t>발주 입력시 Roll 수량 및 m기입시 초량 반영 및 sqm 표시</t>
    <phoneticPr fontId="1" type="noConversion"/>
  </si>
  <si>
    <t>lot card - 생성수량 지정하여 생성</t>
    <phoneticPr fontId="1" type="noConversion"/>
  </si>
  <si>
    <t>Lotcard</t>
    <phoneticPr fontId="1" type="noConversion"/>
  </si>
  <si>
    <t>lot card - 일자 표현 중 일자를 두자리 관리로 변경 가능여부 확인(36진수-&gt;10진수)</t>
    <phoneticPr fontId="1" type="noConversion"/>
  </si>
  <si>
    <t>반제품 관련 이동처리불가(반품불가) - 특정 창고에서만 진행 가능.(S30 자재창고 - 에서만 가능)</t>
    <phoneticPr fontId="1" type="noConversion"/>
  </si>
  <si>
    <t>O</t>
    <phoneticPr fontId="1" type="noConversion"/>
  </si>
  <si>
    <t>O</t>
    <phoneticPr fontId="1" type="noConversion"/>
  </si>
  <si>
    <t>실적</t>
    <phoneticPr fontId="1" type="noConversion"/>
  </si>
  <si>
    <t>POP</t>
    <phoneticPr fontId="1" type="noConversion"/>
  </si>
  <si>
    <t>재검사 진행의 실적 취소 후 재 등록 시 재 등록이 안되는 문제 발생</t>
    <phoneticPr fontId="1" type="noConversion"/>
  </si>
  <si>
    <t>`</t>
    <phoneticPr fontId="1" type="noConversion"/>
  </si>
  <si>
    <t>PDA</t>
    <phoneticPr fontId="1" type="noConversion"/>
  </si>
  <si>
    <t>접속자 관리 대상에서 제외 필요(ERP와 같이 접속자 관리 중복으로 이루어져서 다중접속이 되지 읺음)</t>
    <phoneticPr fontId="1" type="noConversion"/>
  </si>
  <si>
    <t>O
(현재까지)</t>
    <phoneticPr fontId="1" type="noConversion"/>
  </si>
  <si>
    <t>O
(현재까지)</t>
    <phoneticPr fontId="1" type="noConversion"/>
  </si>
  <si>
    <t>NPI 구역 인터넷 사용불가로 인해 WIFI 통신인 PDA
구동이 안될 것으로 예상</t>
    <phoneticPr fontId="1" type="noConversion"/>
  </si>
  <si>
    <t>O
(현재까지)</t>
    <phoneticPr fontId="1" type="noConversion"/>
  </si>
  <si>
    <t>PDA 접속자 수 관련 ERP와 맞물려 있어 제한적 사용</t>
    <phoneticPr fontId="1" type="noConversion"/>
  </si>
  <si>
    <t>BOM 등록시 BOM의 개취수 확인용 열 추가 진행(개별 수량 입력 후 해당 단위별 개취수 확인진행)</t>
    <phoneticPr fontId="1" type="noConversion"/>
  </si>
  <si>
    <t>MES</t>
    <phoneticPr fontId="1" type="noConversion"/>
  </si>
  <si>
    <t>개선</t>
    <phoneticPr fontId="1" type="noConversion"/>
  </si>
  <si>
    <t>OPPO 관련 마킹 연동여부 및 CELL QR 마킹 체계변경 진행</t>
    <phoneticPr fontId="1" type="noConversion"/>
  </si>
  <si>
    <t>실적 등록 진행시 자재투입 에러 발생되며 시간 LOSS 발생</t>
    <phoneticPr fontId="1" type="noConversion"/>
  </si>
  <si>
    <r>
      <t>. QV, YP 필요 대수 확인 진행 및 구입 추진 진행
. 재고실사 + 입고 + 출하 등 활용처들을 위해
  예비분까지 구매 진행(1차 10대 구매 진행 예정)
.</t>
    </r>
    <r>
      <rPr>
        <b/>
        <sz val="10"/>
        <color theme="1"/>
        <rFont val="맑은 고딕"/>
        <family val="3"/>
        <charset val="129"/>
        <scheme val="minor"/>
      </rPr>
      <t xml:space="preserve"> PDA 에뮬레이터를 통한 PDA 구동 진행 - PC or laptop 설치</t>
    </r>
    <phoneticPr fontId="1" type="noConversion"/>
  </si>
  <si>
    <t>. 실 OPNE 운영 진행 시 문제가 될 것으로 예상
. 라인센스 관련 별도 관리 될 수있도록 요청
. 서비스 제공자에서 별도 관리 될 수 있도록 제공 예정</t>
    <phoneticPr fontId="1" type="noConversion"/>
  </si>
  <si>
    <t>개발</t>
    <phoneticPr fontId="1" type="noConversion"/>
  </si>
  <si>
    <t>라벨</t>
    <phoneticPr fontId="1" type="noConversion"/>
  </si>
  <si>
    <t>ERP/MES</t>
    <phoneticPr fontId="1" type="noConversion"/>
  </si>
  <si>
    <t>자재</t>
    <phoneticPr fontId="1" type="noConversion"/>
  </si>
  <si>
    <t>기준정보</t>
    <phoneticPr fontId="1" type="noConversion"/>
  </si>
  <si>
    <t>O</t>
    <phoneticPr fontId="1" type="noConversion"/>
  </si>
  <si>
    <t>부서</t>
    <phoneticPr fontId="1" type="noConversion"/>
  </si>
  <si>
    <t>구매</t>
    <phoneticPr fontId="1" type="noConversion"/>
  </si>
  <si>
    <t>6월2주</t>
  </si>
  <si>
    <t>6월3주</t>
  </si>
  <si>
    <t>6월4주</t>
  </si>
  <si>
    <t>UTG 다중 + PWA 다중 등 다양한 조합이 기준정보로 이상없이 운영 가능토록</t>
    <phoneticPr fontId="1" type="noConversion"/>
  </si>
  <si>
    <t>SDI PSA6용 라벨 개발 - 신규접수</t>
    <phoneticPr fontId="1" type="noConversion"/>
  </si>
  <si>
    <t>O</t>
    <phoneticPr fontId="1" type="noConversion"/>
  </si>
  <si>
    <t>프로그램개발</t>
    <phoneticPr fontId="1" type="noConversion"/>
  </si>
  <si>
    <t>프로그램
1차배포</t>
    <phoneticPr fontId="1" type="noConversion"/>
  </si>
  <si>
    <t>미팅진행</t>
    <phoneticPr fontId="1" type="noConversion"/>
  </si>
  <si>
    <t>서버 리부트</t>
    <phoneticPr fontId="1" type="noConversion"/>
  </si>
  <si>
    <t>점검진행</t>
    <phoneticPr fontId="1" type="noConversion"/>
  </si>
  <si>
    <t>최종이상유무
확인</t>
    <phoneticPr fontId="1" type="noConversion"/>
  </si>
  <si>
    <t>개발</t>
    <phoneticPr fontId="1" type="noConversion"/>
  </si>
  <si>
    <t>적용</t>
  </si>
  <si>
    <t>적용</t>
    <phoneticPr fontId="1" type="noConversion"/>
  </si>
  <si>
    <t>메크로 머신 마킹기 S/N 관련 - 마킹 변경 체계 작업 불가로 프로그램 개조 진행 필요</t>
    <phoneticPr fontId="1" type="noConversion"/>
  </si>
  <si>
    <t>개발</t>
    <phoneticPr fontId="1" type="noConversion"/>
  </si>
  <si>
    <t>적용TEST</t>
    <phoneticPr fontId="1" type="noConversion"/>
  </si>
  <si>
    <t>토큰 미 발행으로 확인필요</t>
    <phoneticPr fontId="1" type="noConversion"/>
  </si>
  <si>
    <t>문제점확인</t>
    <phoneticPr fontId="1" type="noConversion"/>
  </si>
  <si>
    <t>추가보완</t>
    <phoneticPr fontId="1" type="noConversion"/>
  </si>
  <si>
    <t>4/5~</t>
    <phoneticPr fontId="1" type="noConversion"/>
  </si>
  <si>
    <t>3/27~</t>
    <phoneticPr fontId="1" type="noConversion"/>
  </si>
  <si>
    <t>●</t>
  </si>
  <si>
    <t>▲</t>
  </si>
  <si>
    <t>-</t>
  </si>
  <si>
    <t>금형 LOT 라벨 관리 확인 - (금형 라벨 발행 및 관리내역) - 최종 라벨사양은 추가 업데이트 예정</t>
    <phoneticPr fontId="1" type="noConversion"/>
  </si>
  <si>
    <t>선 진행 예정모델 기준 라벨 우선 개발 진행(NITTO 우선진행)</t>
    <phoneticPr fontId="1" type="noConversion"/>
  </si>
  <si>
    <t>적용</t>
    <phoneticPr fontId="1" type="noConversion"/>
  </si>
  <si>
    <t>개발 중</t>
    <phoneticPr fontId="1" type="noConversion"/>
  </si>
  <si>
    <t>개발 중</t>
    <phoneticPr fontId="1" type="noConversion"/>
  </si>
  <si>
    <t>실적등록</t>
    <phoneticPr fontId="1" type="noConversion"/>
  </si>
  <si>
    <t>실적등록/
라벨발행</t>
    <phoneticPr fontId="1" type="noConversion"/>
  </si>
  <si>
    <t>실적-3/28, 라벨-4/17</t>
    <phoneticPr fontId="1" type="noConversion"/>
  </si>
  <si>
    <t>△</t>
    <phoneticPr fontId="1" type="noConversion"/>
  </si>
  <si>
    <t>업체미팅 후 수립예정</t>
    <phoneticPr fontId="1" type="noConversion"/>
  </si>
  <si>
    <t>5/3~(지속진행)</t>
    <phoneticPr fontId="1" type="noConversion"/>
  </si>
  <si>
    <t>요청그림접수</t>
    <phoneticPr fontId="1" type="noConversion"/>
  </si>
  <si>
    <t>운영진행</t>
    <phoneticPr fontId="1" type="noConversion"/>
  </si>
  <si>
    <t>지속 확인 진행</t>
    <phoneticPr fontId="1" type="noConversion"/>
  </si>
  <si>
    <t>△</t>
    <phoneticPr fontId="1" type="noConversion"/>
  </si>
  <si>
    <t>현실사 진행
사항 점검</t>
    <phoneticPr fontId="1" type="noConversion"/>
  </si>
  <si>
    <t>OCA병행실사
진행문재점도출</t>
    <phoneticPr fontId="1" type="noConversion"/>
  </si>
  <si>
    <t>대량검증</t>
    <phoneticPr fontId="1" type="noConversion"/>
  </si>
  <si>
    <t>일부 개선</t>
    <phoneticPr fontId="1" type="noConversion"/>
  </si>
  <si>
    <t>업체미팅</t>
    <phoneticPr fontId="1" type="noConversion"/>
  </si>
  <si>
    <t>고객사
검토</t>
    <phoneticPr fontId="1" type="noConversion"/>
  </si>
  <si>
    <t>내부미팅</t>
    <phoneticPr fontId="1" type="noConversion"/>
  </si>
  <si>
    <t>연동TEST</t>
    <phoneticPr fontId="1" type="noConversion"/>
  </si>
  <si>
    <t>기본운영안
수립</t>
    <phoneticPr fontId="1" type="noConversion"/>
  </si>
  <si>
    <t>AOI 업체 조율</t>
    <phoneticPr fontId="1" type="noConversion"/>
  </si>
  <si>
    <t>추가개선진행</t>
    <phoneticPr fontId="1" type="noConversion"/>
  </si>
  <si>
    <t>적용</t>
    <phoneticPr fontId="1" type="noConversion"/>
  </si>
  <si>
    <t>△</t>
    <phoneticPr fontId="1" type="noConversion"/>
  </si>
  <si>
    <t>O</t>
    <phoneticPr fontId="1" type="noConversion"/>
  </si>
  <si>
    <t>PL AOI 관련 연동 작업</t>
    <phoneticPr fontId="1" type="noConversion"/>
  </si>
  <si>
    <t>O</t>
    <phoneticPr fontId="1" type="noConversion"/>
  </si>
  <si>
    <t>PACK 라벨 지정 라벨 관련 (다중 고객사 처리를 위함)</t>
    <phoneticPr fontId="1" type="noConversion"/>
  </si>
  <si>
    <t>기본 지정 박스 포장단위 수량 외 규격으로 포장 조정 가능불가 -&gt; 변경가능으로 조정 (다중 고객사 제품 처리를 위함)</t>
    <phoneticPr fontId="1" type="noConversion"/>
  </si>
  <si>
    <t>오픈운영</t>
    <phoneticPr fontId="1" type="noConversion"/>
  </si>
  <si>
    <t>서비리부트
재준비</t>
    <phoneticPr fontId="1" type="noConversion"/>
  </si>
  <si>
    <t>시범운영</t>
    <phoneticPr fontId="1" type="noConversion"/>
  </si>
  <si>
    <t>오픈운영</t>
    <phoneticPr fontId="1" type="noConversion"/>
  </si>
  <si>
    <t>비고</t>
    <phoneticPr fontId="1" type="noConversion"/>
  </si>
  <si>
    <t>4월 7일까지</t>
    <phoneticPr fontId="1" type="noConversion"/>
  </si>
  <si>
    <t>DECO</t>
    <phoneticPr fontId="1" type="noConversion"/>
  </si>
  <si>
    <t>PCPMMA</t>
    <phoneticPr fontId="1" type="noConversion"/>
  </si>
  <si>
    <t xml:space="preserve">   2. 각 품목별 운영관련 예상일정</t>
    <phoneticPr fontId="1" type="noConversion"/>
  </si>
  <si>
    <t>4월 17일부터 / 5월3일 재진행</t>
    <phoneticPr fontId="1" type="noConversion"/>
  </si>
  <si>
    <t>4월10일 부터</t>
    <phoneticPr fontId="1" type="noConversion"/>
  </si>
  <si>
    <t>3월 20일 부터</t>
    <phoneticPr fontId="1" type="noConversion"/>
  </si>
  <si>
    <t>■ 전산관련 진행 현황</t>
    <phoneticPr fontId="1" type="noConversion"/>
  </si>
  <si>
    <t xml:space="preserve">   1. 전산관련 업무 내용 별 진척현황</t>
    <phoneticPr fontId="1" type="noConversion"/>
  </si>
  <si>
    <t>해결여부</t>
    <phoneticPr fontId="1" type="noConversion"/>
  </si>
  <si>
    <t xml:space="preserve">. 서버 망 공사 이후 모니터링 진행 예정
  - 망공사로 인한 DB서버 접속 안정성 확보로 문제 해결  </t>
    <phoneticPr fontId="1" type="noConversion"/>
  </si>
  <si>
    <t>1. 간헐적 으로 실적 입력 간 자재 투입시 
   응답에러로 인한 자재 투입 진행 불가 경우 발생
   (자재투입 불가로 인한 실적 등록 지장 발생)</t>
    <phoneticPr fontId="1" type="noConversion"/>
  </si>
  <si>
    <t>1. 자재채번 오류로 인해 추가 등록 및 중복 등록
   등으로 인한 bom구성시 혼선
2. 중복등록 인한 자재 입고시 혼선
3. 상기 사항으로 인한 실적 에러 발생</t>
    <phoneticPr fontId="1" type="noConversion"/>
  </si>
  <si>
    <t>마킹</t>
    <phoneticPr fontId="1" type="noConversion"/>
  </si>
  <si>
    <t>연동</t>
    <phoneticPr fontId="1" type="noConversion"/>
  </si>
  <si>
    <t>PL 인라인장비 QR마킹기 연동 가능여부 확인</t>
    <phoneticPr fontId="1" type="noConversion"/>
  </si>
  <si>
    <t>마킹기업체
미팅</t>
    <phoneticPr fontId="1" type="noConversion"/>
  </si>
  <si>
    <t>전산업체
개발논의</t>
    <phoneticPr fontId="1" type="noConversion"/>
  </si>
  <si>
    <t>MES</t>
    <phoneticPr fontId="1" type="noConversion"/>
  </si>
  <si>
    <t>. 별도 내부 Wifi 망 구성하여 PDA 전용으로만 사용 진행
. 금주 내 별도 장치 구매 하여 wifi 구현 진행(사장님 확인 가능)</t>
    <phoneticPr fontId="1" type="noConversion"/>
  </si>
  <si>
    <t>OPPO 조립라벨의 중복 유효성 검토 진행(수동방식 or 연동 방식에 대해서는 결정 필요)</t>
    <phoneticPr fontId="1" type="noConversion"/>
  </si>
  <si>
    <t>라벨폰트문제</t>
    <phoneticPr fontId="1" type="noConversion"/>
  </si>
  <si>
    <t>현재 운영체제?에 따른 라벨폰트 상이하게 나타나
인쇄 문제 발생</t>
    <phoneticPr fontId="1" type="noConversion"/>
  </si>
  <si>
    <t>신규모델</t>
    <phoneticPr fontId="1" type="noConversion"/>
  </si>
  <si>
    <t>B5</t>
    <phoneticPr fontId="1" type="noConversion"/>
  </si>
  <si>
    <t>MES</t>
    <phoneticPr fontId="1" type="noConversion"/>
  </si>
  <si>
    <t xml:space="preserve">  ■. 각 품목별 현재 개발 현황(23-04-27 기준)</t>
    <phoneticPr fontId="1" type="noConversion"/>
  </si>
  <si>
    <t>12일에</t>
    <phoneticPr fontId="1" type="noConversion"/>
  </si>
  <si>
    <t>nitto 방문</t>
    <phoneticPr fontId="1" type="noConversion"/>
  </si>
  <si>
    <t>OCA</t>
    <phoneticPr fontId="1" type="noConversion"/>
  </si>
  <si>
    <t>NITTO</t>
    <phoneticPr fontId="1" type="noConversion"/>
  </si>
  <si>
    <t>SUS</t>
    <phoneticPr fontId="1" type="noConversion"/>
  </si>
  <si>
    <t>DECO</t>
    <phoneticPr fontId="1" type="noConversion"/>
  </si>
  <si>
    <t>삼성</t>
    <phoneticPr fontId="1" type="noConversion"/>
  </si>
  <si>
    <t>TAPE</t>
    <phoneticPr fontId="1" type="noConversion"/>
  </si>
  <si>
    <t>타발</t>
    <phoneticPr fontId="1" type="noConversion"/>
  </si>
  <si>
    <t>PLC</t>
    <phoneticPr fontId="1" type="noConversion"/>
  </si>
  <si>
    <t>OCA</t>
    <phoneticPr fontId="1" type="noConversion"/>
  </si>
  <si>
    <t>SDI</t>
    <phoneticPr fontId="1" type="noConversion"/>
  </si>
  <si>
    <t>TAPE</t>
    <phoneticPr fontId="1" type="noConversion"/>
  </si>
  <si>
    <t>조립</t>
    <phoneticPr fontId="1" type="noConversion"/>
  </si>
  <si>
    <t>PL</t>
    <phoneticPr fontId="1" type="noConversion"/>
  </si>
  <si>
    <t>기존라인</t>
    <phoneticPr fontId="1" type="noConversion"/>
  </si>
  <si>
    <t>자동라인</t>
    <phoneticPr fontId="1" type="noConversion"/>
  </si>
  <si>
    <t>삼성</t>
    <phoneticPr fontId="1" type="noConversion"/>
  </si>
  <si>
    <t>OPPO</t>
    <phoneticPr fontId="1" type="noConversion"/>
  </si>
  <si>
    <t>PCPMMA</t>
    <phoneticPr fontId="1" type="noConversion"/>
  </si>
  <si>
    <t>PCPMMA</t>
    <phoneticPr fontId="1" type="noConversion"/>
  </si>
  <si>
    <t>OPPO</t>
    <phoneticPr fontId="1" type="noConversion"/>
  </si>
  <si>
    <t>선합지</t>
    <phoneticPr fontId="1" type="noConversion"/>
  </si>
  <si>
    <t>일반등록</t>
    <phoneticPr fontId="1" type="noConversion"/>
  </si>
  <si>
    <t>선합지</t>
    <phoneticPr fontId="1" type="noConversion"/>
  </si>
  <si>
    <t>PLC</t>
    <phoneticPr fontId="1" type="noConversion"/>
  </si>
  <si>
    <t>EDI</t>
    <phoneticPr fontId="1" type="noConversion"/>
  </si>
  <si>
    <t>TRAY
(CELL)</t>
    <phoneticPr fontId="1" type="noConversion"/>
  </si>
  <si>
    <t>Pack
label</t>
    <phoneticPr fontId="1" type="noConversion"/>
  </si>
  <si>
    <t>BOX
label</t>
    <phoneticPr fontId="1" type="noConversion"/>
  </si>
  <si>
    <t>QR</t>
    <phoneticPr fontId="1" type="noConversion"/>
  </si>
  <si>
    <t>X</t>
    <phoneticPr fontId="1" type="noConversion"/>
  </si>
  <si>
    <t>▲</t>
    <phoneticPr fontId="1" type="noConversion"/>
  </si>
  <si>
    <t>-</t>
    <phoneticPr fontId="1" type="noConversion"/>
  </si>
  <si>
    <t>개선</t>
    <phoneticPr fontId="1" type="noConversion"/>
  </si>
  <si>
    <t>공통</t>
    <phoneticPr fontId="1" type="noConversion"/>
  </si>
  <si>
    <t>금형관련</t>
    <phoneticPr fontId="1" type="noConversion"/>
  </si>
  <si>
    <t>ERP/MES</t>
    <phoneticPr fontId="1" type="noConversion"/>
  </si>
  <si>
    <t>고객사 요청에 의한 금형 CODE규칙 변경(기존 이력 DATA 수정 진행)</t>
    <phoneticPr fontId="1" type="noConversion"/>
  </si>
  <si>
    <t>내용</t>
    <phoneticPr fontId="1" type="noConversion"/>
  </si>
  <si>
    <t>●</t>
    <phoneticPr fontId="1" type="noConversion"/>
  </si>
  <si>
    <t>1차TEST완료</t>
    <phoneticPr fontId="1" type="noConversion"/>
  </si>
  <si>
    <t>O
(현재까지)</t>
  </si>
  <si>
    <t>재포장</t>
    <phoneticPr fontId="1" type="noConversion"/>
  </si>
  <si>
    <t>NITTO 고객검사 의뢰 및 재포장 검증 화면 / 이력 관리</t>
    <phoneticPr fontId="1" type="noConversion"/>
  </si>
  <si>
    <t>Nitto</t>
    <phoneticPr fontId="1" type="noConversion"/>
  </si>
  <si>
    <t>금형인터락</t>
    <phoneticPr fontId="1" type="noConversion"/>
  </si>
  <si>
    <t>완료</t>
    <phoneticPr fontId="1" type="noConversion"/>
  </si>
  <si>
    <t>금형코드변경</t>
    <phoneticPr fontId="1" type="noConversion"/>
  </si>
  <si>
    <t>금형체계반영</t>
    <phoneticPr fontId="1" type="noConversion"/>
  </si>
  <si>
    <t>△</t>
    <phoneticPr fontId="1" type="noConversion"/>
  </si>
  <si>
    <t>포장이력</t>
    <phoneticPr fontId="1" type="noConversion"/>
  </si>
  <si>
    <t>B5</t>
    <phoneticPr fontId="1" type="noConversion"/>
  </si>
  <si>
    <t>양산 진행관련</t>
    <phoneticPr fontId="1" type="noConversion"/>
  </si>
  <si>
    <t>Label</t>
    <phoneticPr fontId="1" type="noConversion"/>
  </si>
  <si>
    <t>별도 Cell 라벨</t>
    <phoneticPr fontId="1" type="noConversion"/>
  </si>
  <si>
    <t>사전점검</t>
    <phoneticPr fontId="1" type="noConversion"/>
  </si>
  <si>
    <t>양산 신규전산활용에 따른
사전점검 진행</t>
    <phoneticPr fontId="1" type="noConversion"/>
  </si>
  <si>
    <t>OPPO</t>
    <phoneticPr fontId="1" type="noConversion"/>
  </si>
  <si>
    <t>Cell마킹</t>
    <phoneticPr fontId="1" type="noConversion"/>
  </si>
  <si>
    <t>마킹 프로그램 개조</t>
    <phoneticPr fontId="1" type="noConversion"/>
  </si>
  <si>
    <t>△</t>
    <phoneticPr fontId="1" type="noConversion"/>
  </si>
  <si>
    <t>라벨</t>
    <phoneticPr fontId="1" type="noConversion"/>
  </si>
  <si>
    <t>조립라벨 + UPN라벨 구현</t>
    <phoneticPr fontId="1" type="noConversion"/>
  </si>
  <si>
    <t>출하</t>
    <phoneticPr fontId="1" type="noConversion"/>
  </si>
  <si>
    <t>포장</t>
    <phoneticPr fontId="1" type="noConversion"/>
  </si>
  <si>
    <t>박스포장</t>
    <phoneticPr fontId="1" type="noConversion"/>
  </si>
  <si>
    <t>박스포장 연속 작업간 라벨 자동발행</t>
    <phoneticPr fontId="1" type="noConversion"/>
  </si>
  <si>
    <t>X</t>
    <phoneticPr fontId="1" type="noConversion"/>
  </si>
  <si>
    <t>-</t>
    <phoneticPr fontId="1" type="noConversion"/>
  </si>
  <si>
    <t>UB FILM</t>
    <phoneticPr fontId="1" type="noConversion"/>
  </si>
  <si>
    <t>유효기간</t>
    <phoneticPr fontId="1" type="noConversion"/>
  </si>
  <si>
    <t>원단</t>
    <phoneticPr fontId="1" type="noConversion"/>
  </si>
  <si>
    <t>원단 유효기간으로 공정 인터락
및 알람기능 추가 라벨유효일자 변경</t>
    <phoneticPr fontId="1" type="noConversion"/>
  </si>
  <si>
    <t>1. 원단 생산일자 기준으로 전체 출하 관리 진행 필요
2. 업체별 개발 견적금액 비교</t>
    <phoneticPr fontId="1" type="noConversion"/>
  </si>
  <si>
    <t>구분</t>
    <phoneticPr fontId="1" type="noConversion"/>
  </si>
  <si>
    <t>예상금액</t>
    <phoneticPr fontId="1" type="noConversion"/>
  </si>
  <si>
    <t>기간</t>
    <phoneticPr fontId="1" type="noConversion"/>
  </si>
  <si>
    <t>조은
인포텍</t>
  </si>
  <si>
    <t>1800만원</t>
    <phoneticPr fontId="1" type="noConversion"/>
  </si>
  <si>
    <t>2~2.5개월</t>
    <phoneticPr fontId="1" type="noConversion"/>
  </si>
  <si>
    <t>비젠트로</t>
  </si>
  <si>
    <t>2500~
3000만원</t>
    <phoneticPr fontId="1" type="noConversion"/>
  </si>
  <si>
    <t>1.5~2개월</t>
    <phoneticPr fontId="1" type="noConversion"/>
  </si>
  <si>
    <t>QR</t>
    <phoneticPr fontId="1" type="noConversion"/>
  </si>
  <si>
    <t>마킹</t>
    <phoneticPr fontId="1" type="noConversion"/>
  </si>
  <si>
    <t>프로그램</t>
    <phoneticPr fontId="1" type="noConversion"/>
  </si>
  <si>
    <t>●</t>
    <phoneticPr fontId="1" type="noConversion"/>
  </si>
  <si>
    <t>세부 운영프로그램</t>
    <phoneticPr fontId="1" type="noConversion"/>
  </si>
  <si>
    <t>선합지</t>
    <phoneticPr fontId="1" type="noConversion"/>
  </si>
  <si>
    <t>양산 진행관련</t>
  </si>
  <si>
    <t>기본프로그램</t>
    <phoneticPr fontId="1" type="noConversion"/>
  </si>
  <si>
    <t>견적</t>
  </si>
  <si>
    <t>개발기간</t>
    <phoneticPr fontId="1" type="noConversion"/>
  </si>
  <si>
    <t>내용</t>
    <phoneticPr fontId="1" type="noConversion"/>
  </si>
  <si>
    <t>(KRW) - 7,230만원
(VND) - 13억 동</t>
    <phoneticPr fontId="1" type="noConversion"/>
  </si>
  <si>
    <t>AOI</t>
    <phoneticPr fontId="1" type="noConversion"/>
  </si>
  <si>
    <t>연동</t>
    <phoneticPr fontId="1" type="noConversion"/>
  </si>
  <si>
    <t>X</t>
    <phoneticPr fontId="1" type="noConversion"/>
  </si>
  <si>
    <t>조회 프로그램
(결과 이력 / 불량 상세이력)</t>
    <phoneticPr fontId="1" type="noConversion"/>
  </si>
  <si>
    <t>현황관리</t>
    <phoneticPr fontId="1" type="noConversion"/>
  </si>
  <si>
    <t>운영사항 관리</t>
    <phoneticPr fontId="1" type="noConversion"/>
  </si>
  <si>
    <t>프로그램</t>
    <phoneticPr fontId="1" type="noConversion"/>
  </si>
  <si>
    <t>지속진행</t>
    <phoneticPr fontId="1" type="noConversion"/>
  </si>
  <si>
    <t>마킹 및 
Cell 매칭</t>
    <phoneticPr fontId="1" type="noConversion"/>
  </si>
  <si>
    <t>NO.</t>
    <phoneticPr fontId="1" type="noConversion"/>
  </si>
  <si>
    <t>대분류</t>
    <phoneticPr fontId="1" type="noConversion"/>
  </si>
  <si>
    <t>구분</t>
    <phoneticPr fontId="1" type="noConversion"/>
  </si>
  <si>
    <t>소분류</t>
    <phoneticPr fontId="1" type="noConversion"/>
  </si>
  <si>
    <t>완료여부</t>
    <phoneticPr fontId="1" type="noConversion"/>
  </si>
  <si>
    <t>완료
예정일자</t>
    <phoneticPr fontId="1" type="noConversion"/>
  </si>
  <si>
    <t>비고</t>
    <phoneticPr fontId="1" type="noConversion"/>
  </si>
  <si>
    <t>마킹자료(Sheet QR까지 자동구현)
 + 중복체크</t>
    <phoneticPr fontId="1" type="noConversion"/>
  </si>
  <si>
    <t>라벨</t>
    <phoneticPr fontId="1" type="noConversion"/>
  </si>
  <si>
    <t>전체
포장라벨</t>
    <phoneticPr fontId="1" type="noConversion"/>
  </si>
  <si>
    <t>Pack</t>
    <phoneticPr fontId="1" type="noConversion"/>
  </si>
  <si>
    <t>BOX</t>
    <phoneticPr fontId="1" type="noConversion"/>
  </si>
  <si>
    <t>고객사별 BOX 라벨 개발</t>
    <phoneticPr fontId="1" type="noConversion"/>
  </si>
  <si>
    <t>고객사별 PACK / TRAY / CELL 라벨 개발</t>
    <phoneticPr fontId="1" type="noConversion"/>
  </si>
  <si>
    <t>OCA
전모델관리</t>
    <phoneticPr fontId="1" type="noConversion"/>
  </si>
  <si>
    <t>기 등록 금형 코드변경</t>
    <phoneticPr fontId="1" type="noConversion"/>
  </si>
  <si>
    <t>포장</t>
    <phoneticPr fontId="1" type="noConversion"/>
  </si>
  <si>
    <t>고객 OQC 이후 재포장 Process 추가</t>
    <phoneticPr fontId="1" type="noConversion"/>
  </si>
  <si>
    <t>업무편의 향상을 위함</t>
    <phoneticPr fontId="1" type="noConversion"/>
  </si>
  <si>
    <r>
      <rPr>
        <b/>
        <sz val="11"/>
        <color theme="1"/>
        <rFont val="맑은 고딕"/>
        <family val="3"/>
        <charset val="129"/>
        <scheme val="minor"/>
      </rPr>
      <t xml:space="preserve">1. 고객요청에 의한 내부 DM마킹적용
</t>
    </r>
    <r>
      <rPr>
        <sz val="11"/>
        <color theme="1"/>
        <rFont val="맑은 고딕"/>
        <family val="3"/>
        <charset val="129"/>
        <scheme val="minor"/>
      </rPr>
      <t xml:space="preserve">  - OPPO DECO, PCPMMA통일적용
</t>
    </r>
    <r>
      <rPr>
        <b/>
        <sz val="11"/>
        <color theme="1"/>
        <rFont val="맑은 고딕"/>
        <family val="3"/>
        <charset val="129"/>
        <scheme val="minor"/>
      </rPr>
      <t>2. DM+조립라벨 매칭작업필요</t>
    </r>
    <r>
      <rPr>
        <sz val="11"/>
        <color theme="1"/>
        <rFont val="맑은 고딕"/>
        <family val="3"/>
        <charset val="129"/>
        <scheme val="minor"/>
      </rPr>
      <t xml:space="preserve">
  - 수동매칭 파일 업로드+SHEET구현
</t>
    </r>
    <r>
      <rPr>
        <b/>
        <sz val="11"/>
        <color theme="1"/>
        <rFont val="맑은 고딕"/>
        <family val="3"/>
        <charset val="129"/>
        <scheme val="minor"/>
      </rPr>
      <t xml:space="preserve">3. 마킹프로그램 차주 TEST진행 예정 - 총 1,570만원 발생 예정
</t>
    </r>
    <r>
      <rPr>
        <sz val="11"/>
        <color theme="1"/>
        <rFont val="맑은 고딕"/>
        <family val="3"/>
        <charset val="129"/>
        <scheme val="minor"/>
      </rPr>
      <t xml:space="preserve">  - 프로그램 수동 견적 </t>
    </r>
    <r>
      <rPr>
        <b/>
        <sz val="11"/>
        <color theme="1"/>
        <rFont val="맑은 고딕"/>
        <family val="3"/>
        <charset val="129"/>
        <scheme val="minor"/>
      </rPr>
      <t>200만원</t>
    </r>
    <r>
      <rPr>
        <sz val="11"/>
        <color theme="1"/>
        <rFont val="맑은 고딕"/>
        <family val="3"/>
        <charset val="129"/>
        <scheme val="minor"/>
      </rPr>
      <t xml:space="preserve">  / 연동관련 </t>
    </r>
    <r>
      <rPr>
        <b/>
        <sz val="11"/>
        <color theme="1"/>
        <rFont val="맑은 고딕"/>
        <family val="3"/>
        <charset val="129"/>
        <scheme val="minor"/>
      </rPr>
      <t>1,000만원</t>
    </r>
    <r>
      <rPr>
        <sz val="11"/>
        <color theme="1"/>
        <rFont val="맑은 고딕"/>
        <family val="3"/>
        <charset val="129"/>
        <scheme val="minor"/>
      </rPr>
      <t xml:space="preserve">
  - 마킹기 수리에 대한 견적 포함 진행 </t>
    </r>
    <r>
      <rPr>
        <b/>
        <sz val="11"/>
        <color theme="1"/>
        <rFont val="맑은 고딕"/>
        <family val="3"/>
        <charset val="129"/>
        <scheme val="minor"/>
      </rPr>
      <t>370만원</t>
    </r>
    <phoneticPr fontId="1" type="noConversion"/>
  </si>
  <si>
    <t>ㄴ</t>
    <phoneticPr fontId="1" type="noConversion"/>
  </si>
  <si>
    <t>ERP/MES</t>
    <phoneticPr fontId="1" type="noConversion"/>
  </si>
  <si>
    <t>O</t>
    <phoneticPr fontId="1" type="noConversion"/>
  </si>
  <si>
    <t>X</t>
    <phoneticPr fontId="1" type="noConversion"/>
  </si>
  <si>
    <t>EDI/
다이렉트통신</t>
    <phoneticPr fontId="1" type="noConversion"/>
  </si>
  <si>
    <r>
      <rPr>
        <b/>
        <sz val="11"/>
        <color theme="1"/>
        <rFont val="맑은 고딕"/>
        <family val="3"/>
        <charset val="129"/>
        <scheme val="minor"/>
      </rPr>
      <t>1. 고객 서버 연동을 위한 토큰 발행 요청 진행 중</t>
    </r>
    <r>
      <rPr>
        <sz val="11"/>
        <color theme="1"/>
        <rFont val="맑은 고딕"/>
        <family val="2"/>
        <charset val="129"/>
        <scheme val="minor"/>
      </rPr>
      <t xml:space="preserve">
  - 본사 팔로업 중이지만 현제 업무 지체 중</t>
    </r>
    <phoneticPr fontId="1" type="noConversion"/>
  </si>
  <si>
    <t>개발</t>
    <phoneticPr fontId="1" type="noConversion"/>
  </si>
  <si>
    <t>공통</t>
    <phoneticPr fontId="1" type="noConversion"/>
  </si>
  <si>
    <t>MES</t>
    <phoneticPr fontId="1" type="noConversion"/>
  </si>
  <si>
    <t>일부 개선</t>
    <phoneticPr fontId="1" type="noConversion"/>
  </si>
  <si>
    <t>FLOW</t>
    <phoneticPr fontId="1" type="noConversion"/>
  </si>
  <si>
    <t>공통</t>
    <phoneticPr fontId="1" type="noConversion"/>
  </si>
  <si>
    <t>선합지</t>
    <phoneticPr fontId="1" type="noConversion"/>
  </si>
  <si>
    <t>ERP/MES</t>
    <phoneticPr fontId="1" type="noConversion"/>
  </si>
  <si>
    <t>재검양품</t>
    <phoneticPr fontId="1" type="noConversion"/>
  </si>
  <si>
    <t>ERP/MES</t>
    <phoneticPr fontId="1" type="noConversion"/>
  </si>
  <si>
    <t>재검양품화 Process 수립 진행 필요 - 현재 기준으로는 재검 bom / 라우팅 구성 필요</t>
    <phoneticPr fontId="1" type="noConversion"/>
  </si>
  <si>
    <t>RMA재검</t>
    <phoneticPr fontId="1" type="noConversion"/>
  </si>
  <si>
    <t>고객사 RMA 양품화 재고 수량 반영 방법 확인</t>
    <phoneticPr fontId="1" type="noConversion"/>
  </si>
  <si>
    <t>내용정리</t>
    <phoneticPr fontId="1" type="noConversion"/>
  </si>
  <si>
    <t>개발</t>
    <phoneticPr fontId="1" type="noConversion"/>
  </si>
  <si>
    <t>슬리팅</t>
    <phoneticPr fontId="1" type="noConversion"/>
  </si>
  <si>
    <t>자재요청</t>
    <phoneticPr fontId="1" type="noConversion"/>
  </si>
  <si>
    <t xml:space="preserve">슬리팅 소요량 단위에 대한 방법 변경 + 오더 발행에 대한 개념 재 정립 </t>
    <phoneticPr fontId="1" type="noConversion"/>
  </si>
  <si>
    <t>등록 진행 중</t>
    <phoneticPr fontId="1" type="noConversion"/>
  </si>
  <si>
    <t>B5양산 적용 우선 진행 이후 순차 등록 진행</t>
    <phoneticPr fontId="1" type="noConversion"/>
  </si>
  <si>
    <t>일부모델부터 진행(DOW)</t>
    <phoneticPr fontId="1" type="noConversion"/>
  </si>
  <si>
    <t xml:space="preserve">   5. 진행 업무 현황</t>
    <phoneticPr fontId="1" type="noConversion"/>
  </si>
  <si>
    <t>컴퓨터 OS별 POP 프로그램 설치 문제 발생</t>
    <phoneticPr fontId="1" type="noConversion"/>
  </si>
  <si>
    <t>. 업체에서 1차 해결 방법 확인
  설치전 필수 프로그램(Framwork) 설치 배제 후 설치 진행</t>
    <phoneticPr fontId="1" type="noConversion"/>
  </si>
  <si>
    <t>NPI 구역 인터넷 사용불가로 설치 불가
(실적 취합을 위해서는 내부 IP사용 진행토록 변경)</t>
    <phoneticPr fontId="1" type="noConversion"/>
  </si>
  <si>
    <t>1, 소요량 설정문제(기존 loss포함하여 소요량산정)
2. 1MR 다중 폭 CR 같은 분권 진행 PO등록시문제
3. 전폭 중 일부 폭만 사용 후 남은자재의 폭확인필요</t>
    <phoneticPr fontId="1" type="noConversion"/>
  </si>
  <si>
    <t>. Sliting po부분에 대핸 별도 시스템 구축이 필요한 상황
. 전폭이 변경된 자재에 대해서는 자재code도 변경이 필요함
. MR기준 다중 CR PO등록 할 수있도록 변경 필요</t>
    <phoneticPr fontId="1" type="noConversion"/>
  </si>
  <si>
    <t>프로그램
사용불가
(PDA 기준)</t>
    <phoneticPr fontId="1" type="noConversion"/>
  </si>
  <si>
    <t>프로그램
설치불가
(POP 기준)</t>
    <phoneticPr fontId="1" type="noConversion"/>
  </si>
  <si>
    <t>PDA
접속자수 제한</t>
    <phoneticPr fontId="1" type="noConversion"/>
  </si>
  <si>
    <t>1. 기존 이야기된 프로세스 문제점 수정필요
 - 재고 반영 부분(사급자재별도 조회화면)
 - 재 포장 프로세스 정립필요
 - 재검 양품수량 반영 방법</t>
    <phoneticPr fontId="1" type="noConversion"/>
  </si>
  <si>
    <t>△
(1차 내용전달)</t>
    <phoneticPr fontId="1" type="noConversion"/>
  </si>
  <si>
    <t>. 1차 내부 미팅 이후 프로세스 방향 내용 전달
. 기존 포함 내용의 공수 외 추가되는 부분에 처리방향 확인 필요
. 재고DATA 출력 화면 정리하여 전달 예정
. 재작업관련 업무 진행과 동시에 추가 수정사항 반영 예정</t>
    <phoneticPr fontId="1" type="noConversion"/>
  </si>
  <si>
    <t>기본 운영 프로세스를 위한
전산프로그램</t>
    <phoneticPr fontId="1" type="noConversion"/>
  </si>
  <si>
    <t>. 최신 운영체제를 운영할 수있는 PC추가 확보 진행
. 이 외 구형 OS에서도 정상적으로 출력 가능한지 확인 진행
. 운영체제 보편사용 가능 폰트 최적화 사용진행</t>
    <phoneticPr fontId="1" type="noConversion"/>
  </si>
  <si>
    <t>O
(지속확인)</t>
    <phoneticPr fontId="1" type="noConversion"/>
  </si>
  <si>
    <t>X
업체내용확인
예정</t>
    <phoneticPr fontId="1" type="noConversion"/>
  </si>
  <si>
    <t>적용</t>
    <phoneticPr fontId="1" type="noConversion"/>
  </si>
  <si>
    <t>업체 내부논의</t>
    <phoneticPr fontId="1" type="noConversion"/>
  </si>
  <si>
    <t>변경</t>
    <phoneticPr fontId="1" type="noConversion"/>
  </si>
  <si>
    <t>적용</t>
    <phoneticPr fontId="1" type="noConversion"/>
  </si>
  <si>
    <t>일정일자 및 완료일자</t>
    <phoneticPr fontId="1" type="noConversion"/>
  </si>
  <si>
    <t>변경진행</t>
    <phoneticPr fontId="1" type="noConversion"/>
  </si>
  <si>
    <t>개발기준 변경</t>
    <phoneticPr fontId="1" type="noConversion"/>
  </si>
  <si>
    <t>검토</t>
    <phoneticPr fontId="1" type="noConversion"/>
  </si>
  <si>
    <t>개발/TEST</t>
    <phoneticPr fontId="1" type="noConversion"/>
  </si>
  <si>
    <t>O</t>
    <phoneticPr fontId="1" type="noConversion"/>
  </si>
  <si>
    <t>내용정리</t>
    <phoneticPr fontId="1" type="noConversion"/>
  </si>
  <si>
    <t>개발/TEST</t>
    <phoneticPr fontId="1" type="noConversion"/>
  </si>
  <si>
    <t>TEST/적용</t>
    <phoneticPr fontId="1" type="noConversion"/>
  </si>
  <si>
    <t>출력내용협의</t>
    <phoneticPr fontId="1" type="noConversion"/>
  </si>
  <si>
    <t>내용</t>
    <phoneticPr fontId="1" type="noConversion"/>
  </si>
  <si>
    <t>BOX라벨</t>
    <phoneticPr fontId="1" type="noConversion"/>
  </si>
  <si>
    <t>견적</t>
    <phoneticPr fontId="1" type="noConversion"/>
  </si>
  <si>
    <t>완료예정</t>
    <phoneticPr fontId="1" type="noConversion"/>
  </si>
  <si>
    <r>
      <rPr>
        <b/>
        <sz val="11"/>
        <color theme="1"/>
        <rFont val="맑은 고딕"/>
        <family val="3"/>
        <charset val="129"/>
        <scheme val="minor"/>
      </rPr>
      <t>1. 해당 고객 정용 cell label 개발진행</t>
    </r>
    <r>
      <rPr>
        <sz val="11"/>
        <color theme="1"/>
        <rFont val="맑은 고딕"/>
        <family val="3"/>
        <charset val="129"/>
        <scheme val="minor"/>
      </rPr>
      <t xml:space="preserve">
  - 해당 라벨 IC와 1:1 매칭을 위해
     중복 방지 필요
</t>
    </r>
    <r>
      <rPr>
        <b/>
        <sz val="11"/>
        <color theme="1"/>
        <rFont val="맑은 고딕"/>
        <family val="3"/>
        <charset val="129"/>
        <scheme val="minor"/>
      </rPr>
      <t>2. 5월 19일 경 초도 생산 예상</t>
    </r>
    <phoneticPr fontId="1" type="noConversion"/>
  </si>
  <si>
    <t>-</t>
    <phoneticPr fontId="1" type="noConversion"/>
  </si>
  <si>
    <t>적용</t>
    <phoneticPr fontId="1" type="noConversion"/>
  </si>
  <si>
    <t>수동만반영</t>
    <phoneticPr fontId="1" type="noConversion"/>
  </si>
  <si>
    <t>설비 비나 도착 후 확인</t>
    <phoneticPr fontId="1" type="noConversion"/>
  </si>
  <si>
    <t>적용TEST</t>
    <phoneticPr fontId="1" type="noConversion"/>
  </si>
  <si>
    <t xml:space="preserve">OPEN운영을 위한 기준수립
및 교육 진행 </t>
    <phoneticPr fontId="1" type="noConversion"/>
  </si>
  <si>
    <t>기 입력현황 관리
(오 입력, 미 입력 사항 지속 모니터링 및 조치진행)</t>
    <phoneticPr fontId="1" type="noConversion"/>
  </si>
  <si>
    <t>전산업체
개발논의</t>
    <phoneticPr fontId="1" type="noConversion"/>
  </si>
  <si>
    <t>전산개발</t>
    <phoneticPr fontId="1" type="noConversion"/>
  </si>
  <si>
    <t>견적접수</t>
    <phoneticPr fontId="1" type="noConversion"/>
  </si>
  <si>
    <t>내부 논의필요(진행여부)</t>
    <phoneticPr fontId="1" type="noConversion"/>
  </si>
  <si>
    <t>개선</t>
    <phoneticPr fontId="1" type="noConversion"/>
  </si>
  <si>
    <t>공정재공</t>
    <phoneticPr fontId="1" type="noConversion"/>
  </si>
  <si>
    <t>MES</t>
    <phoneticPr fontId="1" type="noConversion"/>
  </si>
  <si>
    <t>공정재고 현황 구축</t>
    <phoneticPr fontId="1" type="noConversion"/>
  </si>
  <si>
    <t>2.64억VND</t>
    <phoneticPr fontId="1" type="noConversion"/>
  </si>
  <si>
    <t>일부개선</t>
    <phoneticPr fontId="1" type="noConversion"/>
  </si>
  <si>
    <t>추가개선/적용</t>
    <phoneticPr fontId="1" type="noConversion"/>
  </si>
  <si>
    <t>지속 확인하여 잔행</t>
    <phoneticPr fontId="1" type="noConversion"/>
  </si>
  <si>
    <t>선합지 기준프로세스 정립(미 정리 부분)</t>
    <phoneticPr fontId="1" type="noConversion"/>
  </si>
  <si>
    <t>CODE등록</t>
    <phoneticPr fontId="1" type="noConversion"/>
  </si>
  <si>
    <t>라우팅등록</t>
    <phoneticPr fontId="1" type="noConversion"/>
  </si>
  <si>
    <t>실적 등록오류</t>
    <phoneticPr fontId="1" type="noConversion"/>
  </si>
  <si>
    <t>1. 실적 등록시 현장에서 알 수없는 에러로 
   실적등록 불가</t>
    <phoneticPr fontId="1" type="noConversion"/>
  </si>
  <si>
    <t>. 실적 등록진행 간 서버 드랍 문제있는지 확인필요
. I/F 간 프로그램 문제 있는지 확인 진행
. 인터넷 드랍여부 확인 진행</t>
    <phoneticPr fontId="1" type="noConversion"/>
  </si>
  <si>
    <t>△
(원인 파악 진행중)</t>
    <phoneticPr fontId="1" type="noConversion"/>
  </si>
  <si>
    <t>재검관련</t>
    <phoneticPr fontId="1" type="noConversion"/>
  </si>
  <si>
    <t>동일 제품 다중 고객 일 경우 확인 진행</t>
    <phoneticPr fontId="1" type="noConversion"/>
  </si>
  <si>
    <t>NPI</t>
    <phoneticPr fontId="1" type="noConversion"/>
  </si>
  <si>
    <t>NPI 구역 설비 전산등록용 프로그램 설치</t>
    <phoneticPr fontId="1" type="noConversion"/>
  </si>
  <si>
    <t>3. 업무 개발을 위한 최종 계약 체결 진행</t>
    <phoneticPr fontId="1" type="noConversion"/>
  </si>
  <si>
    <t>2. 마킹기등 설비 컴퓨터에 실적 등록용 POP프로그램 설치 진행</t>
    <phoneticPr fontId="1" type="noConversion"/>
  </si>
  <si>
    <r>
      <rPr>
        <b/>
        <sz val="11"/>
        <color theme="1"/>
        <rFont val="맑은 고딕"/>
        <family val="3"/>
        <charset val="129"/>
        <scheme val="minor"/>
      </rPr>
      <t>1. 5/12 고객(Nitto) 점검 방문예정</t>
    </r>
    <r>
      <rPr>
        <sz val="11"/>
        <color theme="1"/>
        <rFont val="맑은 고딕"/>
        <family val="2"/>
        <charset val="129"/>
        <scheme val="minor"/>
      </rPr>
      <t xml:space="preserve">
   1) 신규전산 적용현황 점검
   2) 요청사항 적용여부 확인
</t>
    </r>
    <r>
      <rPr>
        <b/>
        <sz val="11"/>
        <color theme="1"/>
        <rFont val="맑은 고딕"/>
        <family val="3"/>
        <charset val="129"/>
        <scheme val="minor"/>
      </rPr>
      <t>2. 금형체계 변경에 따른 업무</t>
    </r>
    <r>
      <rPr>
        <sz val="11"/>
        <color theme="1"/>
        <rFont val="맑은 고딕"/>
        <family val="2"/>
        <charset val="129"/>
        <scheme val="minor"/>
      </rPr>
      <t xml:space="preserve">
   1) 체계내용 적용
   2) 기 등록 금형 code 변경
   3) 기 등록 금형 이력 변경
</t>
    </r>
    <r>
      <rPr>
        <b/>
        <sz val="11"/>
        <color theme="1"/>
        <rFont val="맑은 고딕"/>
        <family val="3"/>
        <charset val="129"/>
        <scheme val="minor"/>
      </rPr>
      <t>3. 고객 OQC에 대한 이력관리</t>
    </r>
    <r>
      <rPr>
        <sz val="11"/>
        <color theme="1"/>
        <rFont val="맑은 고딕"/>
        <family val="2"/>
        <charset val="129"/>
        <scheme val="minor"/>
      </rPr>
      <t xml:space="preserve">
 - OQC 이력관리 
 - OQC 제품 재포장 검증 Procees</t>
    </r>
    <phoneticPr fontId="1" type="noConversion"/>
  </si>
  <si>
    <t>양품전환관련</t>
    <phoneticPr fontId="1" type="noConversion"/>
  </si>
  <si>
    <t>-</t>
    <phoneticPr fontId="1" type="noConversion"/>
  </si>
  <si>
    <t>자 공정 불량 제품 양품화</t>
    <phoneticPr fontId="1" type="noConversion"/>
  </si>
  <si>
    <t>RMA(고객반품)으로 인한 재 기록용 내용</t>
    <phoneticPr fontId="1" type="noConversion"/>
  </si>
  <si>
    <t>1. 라우팅 별도구성으로 제품 양품화 진행
  -&gt; 단 공정 정보는 없으며, 일부 라벨유형에서는 설비 정보 없이 표기 진행
2. 고개재퓸 재검 진행시 별도 오더 발행? 되는지에 대해 확인 필요
   -&gt; 반품제고 표기 방법 확인 필요</t>
    <phoneticPr fontId="1" type="noConversion"/>
  </si>
  <si>
    <t>요청 내역에서 구매 팩킹단위로 올림 판정하여 자재 요청 될 수있도록 변경</t>
    <phoneticPr fontId="1" type="noConversion"/>
  </si>
  <si>
    <t>요청 내역에서 품목명(제품명) 나올수 있도록 변경</t>
    <phoneticPr fontId="1" type="noConversion"/>
  </si>
  <si>
    <t>미팅</t>
    <phoneticPr fontId="1" type="noConversion"/>
  </si>
  <si>
    <t>내부미팅</t>
    <phoneticPr fontId="1" type="noConversion"/>
  </si>
  <si>
    <t>의견조율</t>
    <phoneticPr fontId="1" type="noConversion"/>
  </si>
  <si>
    <t>운영을 위한
추가 인프라 구축</t>
    <phoneticPr fontId="1" type="noConversion"/>
  </si>
  <si>
    <t>1. 각 공정별 실적 등록을 위해서는 추가 PC배치 필요
2. YP 투입자재가 많아서 - 인쇄도수별 / 증착 차수별등
   - 자재 이력관리를 위해서는 별도 PC필요</t>
    <phoneticPr fontId="1" type="noConversion"/>
  </si>
  <si>
    <t>. 각 공정별 필요 PC파악 진행
. 단계별 PC배치 진행 (공정별 최소단위 배치 -&gt; 설비별 묶음배치-&gt;
  설비별 배치등) 필요성에 따라 증량진행</t>
    <phoneticPr fontId="1" type="noConversion"/>
  </si>
  <si>
    <t>△
(1차 도입 후
필요수량 산정)</t>
    <phoneticPr fontId="1" type="noConversion"/>
  </si>
  <si>
    <t>소요량문제</t>
    <phoneticPr fontId="1" type="noConversion"/>
  </si>
  <si>
    <t>1. 배합용 잉크 등 소요량 산출수량이 너무 적은 자재는
   시스템 반영이 제대로 이루어 지지 않음.</t>
    <phoneticPr fontId="1" type="noConversion"/>
  </si>
  <si>
    <t>. 소수점 산출량 변경 가능여부 확인 중
. 입고자재 재고단위의 변경진행이 이상 유무 확인 진행 중</t>
    <phoneticPr fontId="1" type="noConversion"/>
  </si>
  <si>
    <t>△</t>
    <phoneticPr fontId="1" type="noConversion"/>
  </si>
  <si>
    <t>. 기존 착수 프로젝트 비용의 잔금 처리 문제로 전체 개발 항목 진행
  보류 진행 (해당문제로 대부분 일정은 지연진행)
. 추가 개발 필요건으로 인해 전체 적용까지는 시일 필요</t>
    <phoneticPr fontId="1" type="noConversion"/>
  </si>
  <si>
    <t>현재 보류중
(고객사
확인중)</t>
    <phoneticPr fontId="1" type="noConversion"/>
  </si>
  <si>
    <t>개선 필요점
확인진행</t>
    <phoneticPr fontId="1" type="noConversion"/>
  </si>
  <si>
    <t>방향 수립예정</t>
    <phoneticPr fontId="1" type="noConversion"/>
  </si>
  <si>
    <t>일괄 등록 진행 중 -&gt;</t>
    <phoneticPr fontId="1" type="noConversion"/>
  </si>
  <si>
    <t>연동 프로그램</t>
  </si>
  <si>
    <t>진행프로세스 정립</t>
    <phoneticPr fontId="1" type="noConversion"/>
  </si>
  <si>
    <t>인수인계
기능활성화</t>
    <phoneticPr fontId="1" type="noConversion"/>
  </si>
  <si>
    <t>-</t>
    <phoneticPr fontId="1" type="noConversion"/>
  </si>
  <si>
    <t>현기능 재배치 및 기능 강화 진행</t>
    <phoneticPr fontId="1" type="noConversion"/>
  </si>
  <si>
    <t>적용 ITEM 선정 및 기능 검증</t>
    <phoneticPr fontId="1" type="noConversion"/>
  </si>
  <si>
    <r>
      <t xml:space="preserve">1. 강화 기능 검토 진행 필요
</t>
    </r>
    <r>
      <rPr>
        <sz val="11"/>
        <color theme="1"/>
        <rFont val="맑은 고딕"/>
        <family val="3"/>
        <charset val="129"/>
        <scheme val="minor"/>
      </rPr>
      <t xml:space="preserve">   -&gt; 인수인계 내역조회 / 대상조회 기능
   -&gt; 실적 interlock / 재공 기능 / 실사 기능화</t>
    </r>
    <r>
      <rPr>
        <b/>
        <sz val="11"/>
        <color theme="1"/>
        <rFont val="맑은 고딕"/>
        <family val="3"/>
        <charset val="129"/>
        <scheme val="minor"/>
      </rPr>
      <t xml:space="preserve">
2. 현업 관리 대상 아이템 선정</t>
    </r>
    <phoneticPr fontId="1" type="noConversion"/>
  </si>
  <si>
    <t>`</t>
    <phoneticPr fontId="1" type="noConversion"/>
  </si>
  <si>
    <t>추가자료확인</t>
    <phoneticPr fontId="1" type="noConversion"/>
  </si>
  <si>
    <t>자재소진
I/F 관련</t>
    <phoneticPr fontId="1" type="noConversion"/>
  </si>
  <si>
    <t>1. MES / ERP 간 자재 투입  I/F 타임 존재로 인하여
   이 부분이으로 인해 추가 버버타임 발생 시 
   재고가 이중으로 소진처리될 수 있음.</t>
    <phoneticPr fontId="1" type="noConversion"/>
  </si>
  <si>
    <t>△
(1차 도입안
확인 진행방안)</t>
    <phoneticPr fontId="1" type="noConversion"/>
  </si>
  <si>
    <t>등록 진행 중 - 기존프로그램 버릴시 고객 "C' LOT 제출 예정</t>
    <phoneticPr fontId="1" type="noConversion"/>
  </si>
  <si>
    <t>4월 20일까지</t>
    <phoneticPr fontId="1" type="noConversion"/>
  </si>
  <si>
    <t>지속등록 중</t>
    <phoneticPr fontId="1" type="noConversion"/>
  </si>
  <si>
    <t>원활한 운영을 위한 추가 인프라 구축진행</t>
    <phoneticPr fontId="1" type="noConversion"/>
  </si>
  <si>
    <t>YP</t>
    <phoneticPr fontId="1" type="noConversion"/>
  </si>
  <si>
    <t>구매</t>
  </si>
  <si>
    <t>영업</t>
    <phoneticPr fontId="1" type="noConversion"/>
  </si>
  <si>
    <t>포장</t>
    <phoneticPr fontId="1" type="noConversion"/>
  </si>
  <si>
    <t>인프라</t>
    <phoneticPr fontId="1" type="noConversion"/>
  </si>
  <si>
    <t>문제점확인</t>
    <phoneticPr fontId="1" type="noConversion"/>
  </si>
  <si>
    <t>개선진행</t>
    <phoneticPr fontId="1" type="noConversion"/>
  </si>
  <si>
    <t>인수인계 기능 강화 -&gt; 추가 개선점 여부는 확인 예정</t>
    <phoneticPr fontId="1" type="noConversion"/>
  </si>
  <si>
    <t>추가 개선점 확인 중</t>
    <phoneticPr fontId="1" type="noConversion"/>
  </si>
  <si>
    <t>생산</t>
    <phoneticPr fontId="1" type="noConversion"/>
  </si>
  <si>
    <t>생산실적</t>
    <phoneticPr fontId="1" type="noConversion"/>
  </si>
  <si>
    <t>7월1주</t>
  </si>
  <si>
    <t>7월2주</t>
  </si>
  <si>
    <t>7월3주</t>
  </si>
  <si>
    <t>7월4주</t>
  </si>
  <si>
    <t>적용</t>
    <phoneticPr fontId="1" type="noConversion"/>
  </si>
  <si>
    <t>7월 1주차</t>
    <phoneticPr fontId="1" type="noConversion"/>
  </si>
  <si>
    <t>자료접수</t>
    <phoneticPr fontId="1" type="noConversion"/>
  </si>
  <si>
    <t>재고실사</t>
    <phoneticPr fontId="1" type="noConversion"/>
  </si>
  <si>
    <t>자재내역공유요청</t>
    <phoneticPr fontId="1" type="noConversion"/>
  </si>
  <si>
    <t>. 임시 재고 테이블에  I/F DATA 선 반영하여 예상재고 표시
. MES / ERP 어느 TABLE에서 진행 가능한지 확인 필요</t>
    <phoneticPr fontId="1" type="noConversion"/>
  </si>
  <si>
    <t>구매</t>
    <phoneticPr fontId="1" type="noConversion"/>
  </si>
  <si>
    <t>주제</t>
    <phoneticPr fontId="1" type="noConversion"/>
  </si>
  <si>
    <t>발주</t>
    <phoneticPr fontId="1" type="noConversion"/>
  </si>
  <si>
    <t>입고</t>
    <phoneticPr fontId="1" type="noConversion"/>
  </si>
  <si>
    <t>슬리팅</t>
    <phoneticPr fontId="1" type="noConversion"/>
  </si>
  <si>
    <t>내용</t>
    <phoneticPr fontId="1" type="noConversion"/>
  </si>
  <si>
    <t>전체</t>
    <phoneticPr fontId="1" type="noConversion"/>
  </si>
  <si>
    <t>소요량</t>
    <phoneticPr fontId="1" type="noConversion"/>
  </si>
  <si>
    <r>
      <rPr>
        <b/>
        <sz val="11"/>
        <color theme="1"/>
        <rFont val="맑은 고딕"/>
        <family val="3"/>
        <charset val="129"/>
        <scheme val="minor"/>
      </rPr>
      <t>. 구매 발주 진행시 다중 발주가 안되어 제품군별 개별 발주 및 업체별 개별 발주 진행 해야함</t>
    </r>
    <r>
      <rPr>
        <sz val="11"/>
        <color theme="1"/>
        <rFont val="맑은 고딕"/>
        <family val="2"/>
        <charset val="129"/>
        <scheme val="minor"/>
      </rPr>
      <t xml:space="preserve">
  -&gt; 개별 각 제품군별 등록 인한 업무 지연</t>
    </r>
    <phoneticPr fontId="1" type="noConversion"/>
  </si>
  <si>
    <r>
      <rPr>
        <b/>
        <sz val="11"/>
        <color theme="1"/>
        <rFont val="맑은 고딕"/>
        <family val="3"/>
        <charset val="129"/>
        <scheme val="minor"/>
      </rPr>
      <t>. 입고시 개별 lot별 입고하는데 업무시간 지연 발생</t>
    </r>
    <r>
      <rPr>
        <sz val="11"/>
        <color theme="1"/>
        <rFont val="맑은 고딕"/>
        <family val="2"/>
        <charset val="129"/>
        <scheme val="minor"/>
      </rPr>
      <t xml:space="preserve">
  -&gt; 개별 LOT별 한건 한건 등록 진행 중인 상황
  -&gt; 임시대책으로 통 입고 후 Lot분배 진행 예정</t>
    </r>
    <phoneticPr fontId="1" type="noConversion"/>
  </si>
  <si>
    <r>
      <rPr>
        <b/>
        <sz val="11"/>
        <color theme="1"/>
        <rFont val="맑은 고딕"/>
        <family val="3"/>
        <charset val="129"/>
        <scheme val="minor"/>
      </rPr>
      <t>. BL발주 입고에 대한 입고시 대응 방안수립필요</t>
    </r>
    <r>
      <rPr>
        <sz val="11"/>
        <color theme="1"/>
        <rFont val="맑은 고딕"/>
        <family val="2"/>
        <charset val="129"/>
        <scheme val="minor"/>
      </rPr>
      <t xml:space="preserve">
  -&gt; BL입고시 입고 품목이 상이하는경우 발생(1000폭 요청 500폭입고시)
  -&gt; 다중 BL 입고시 </t>
    </r>
    <phoneticPr fontId="1" type="noConversion"/>
  </si>
  <si>
    <r>
      <rPr>
        <b/>
        <sz val="11"/>
        <color rgb="FF0070C0"/>
        <rFont val="맑은 고딕"/>
        <family val="3"/>
        <charset val="129"/>
        <scheme val="minor"/>
      </rPr>
      <t xml:space="preserve">. 투입 Lot 기준의 소요량 계산으로 인해 후공정 자재 추가 loss발생 예정 </t>
    </r>
    <r>
      <rPr>
        <sz val="11"/>
        <color theme="1"/>
        <rFont val="맑은 고딕"/>
        <family val="2"/>
        <charset val="129"/>
        <scheme val="minor"/>
      </rPr>
      <t xml:space="preserve">
  -&gt; 과투입처리로 인한 재고 수량 상이 발생 에상
  -&gt; 현재 초 공정 기준으로 투입 수량 계산 되어짐</t>
    </r>
    <phoneticPr fontId="1" type="noConversion"/>
  </si>
  <si>
    <r>
      <rPr>
        <b/>
        <sz val="11"/>
        <color rgb="FFC00000"/>
        <rFont val="맑은 고딕"/>
        <family val="3"/>
        <charset val="129"/>
        <scheme val="minor"/>
      </rPr>
      <t>. 소요량 계산 소수점 단위 관리에 대한 방안 필요</t>
    </r>
    <r>
      <rPr>
        <sz val="11"/>
        <color theme="1"/>
        <rFont val="맑은 고딕"/>
        <family val="2"/>
        <charset val="129"/>
        <scheme val="minor"/>
      </rPr>
      <t xml:space="preserve">
  -&gt; 현재 소수점 6자리까지만 관리 진행
     (그 이상되는 경우 관리단위 변경하여 대응 진행)
  -&gt; I/F간 오류를 막기위해 소수점 4자리 반올림하여 진행</t>
    </r>
    <phoneticPr fontId="1" type="noConversion"/>
  </si>
  <si>
    <r>
      <rPr>
        <b/>
        <sz val="11"/>
        <color theme="1"/>
        <rFont val="맑은 고딕"/>
        <family val="2"/>
        <charset val="129"/>
        <scheme val="minor"/>
      </rPr>
      <t xml:space="preserve">1. </t>
    </r>
    <r>
      <rPr>
        <b/>
        <sz val="11"/>
        <color theme="1"/>
        <rFont val="맑은 고딕"/>
        <family val="3"/>
        <charset val="129"/>
        <scheme val="minor"/>
      </rPr>
      <t>슬리팅 관련 화면 별도 구성</t>
    </r>
    <r>
      <rPr>
        <sz val="11"/>
        <color theme="1"/>
        <rFont val="맑은 고딕"/>
        <family val="2"/>
        <charset val="129"/>
        <scheme val="minor"/>
      </rPr>
      <t xml:space="preserve">
  1) 슬리팅 발주시 MR기준 다중오더 구성
  2) 일부 폭 슬리팅시 MR 품목 변환 기능 가능여부 확인필요
  3) CR품목에 대한 코드 자동생성 기능 추가 가능여부 타진</t>
    </r>
    <phoneticPr fontId="1" type="noConversion"/>
  </si>
  <si>
    <r>
      <rPr>
        <b/>
        <sz val="11"/>
        <color theme="1"/>
        <rFont val="맑은 고딕"/>
        <family val="2"/>
        <charset val="129"/>
        <scheme val="minor"/>
      </rPr>
      <t xml:space="preserve">1. </t>
    </r>
    <r>
      <rPr>
        <b/>
        <sz val="11"/>
        <color theme="1"/>
        <rFont val="맑은 고딕"/>
        <family val="3"/>
        <charset val="129"/>
        <scheme val="minor"/>
      </rPr>
      <t>다중업체 /다중제품군/다중품목의 발주 진행하는 화면 개발예정</t>
    </r>
    <r>
      <rPr>
        <sz val="11"/>
        <color theme="1"/>
        <rFont val="맑은 고딕"/>
        <family val="2"/>
        <charset val="129"/>
        <scheme val="minor"/>
      </rPr>
      <t xml:space="preserve">
  1) 일괄 다중 등록인한 오 등록 부분은 프로세스 수립 필요
  2) 화면 구상은 완료</t>
    </r>
    <phoneticPr fontId="1" type="noConversion"/>
  </si>
  <si>
    <t>인수인계</t>
    <phoneticPr fontId="1" type="noConversion"/>
  </si>
  <si>
    <t>생산/품질</t>
    <phoneticPr fontId="1" type="noConversion"/>
  </si>
  <si>
    <r>
      <t xml:space="preserve">1. 인수인계 진행 품목 설정 필요(전체품목 활성화 필요 예상)
  </t>
    </r>
    <r>
      <rPr>
        <sz val="11"/>
        <color theme="1"/>
        <rFont val="맑은 고딕"/>
        <family val="3"/>
        <charset val="129"/>
        <scheme val="minor"/>
      </rPr>
      <t xml:space="preserve">1) 품목별 설정 기능있으며 전체 활성화로 재고 공정별 확인 및 누락 lot추적성 증대필요
  2) 재고 확인의 용이함
  3) 공정재고실사 기능 활성화를 위함
</t>
    </r>
    <r>
      <rPr>
        <b/>
        <sz val="11"/>
        <color theme="1"/>
        <rFont val="맑은 고딕"/>
        <family val="3"/>
        <charset val="129"/>
        <scheme val="minor"/>
      </rPr>
      <t>2. 기능은 구현 진행 완료 - 사용에 대한 의견 수립필요</t>
    </r>
    <phoneticPr fontId="1" type="noConversion"/>
  </si>
  <si>
    <t>재고조사</t>
    <phoneticPr fontId="1" type="noConversion"/>
  </si>
  <si>
    <r>
      <t xml:space="preserve">1. 전체 전산 재고화 및 재고관리가능여부 체크 필요
</t>
    </r>
    <r>
      <rPr>
        <sz val="11"/>
        <color theme="1"/>
        <rFont val="맑은 고딕"/>
        <family val="3"/>
        <charset val="129"/>
        <scheme val="minor"/>
      </rPr>
      <t xml:space="preserve">  1) 수불에대한 관리 기준 변경으로 확인 필요.
  2) 관리도 수준 기준\ 필요</t>
    </r>
    <phoneticPr fontId="1" type="noConversion"/>
  </si>
  <si>
    <r>
      <t xml:space="preserve">. 일부공정 수기 조사 및 엑셀 파일 정리진행
</t>
    </r>
    <r>
      <rPr>
        <sz val="11"/>
        <color theme="1"/>
        <rFont val="맑은 고딕"/>
        <family val="3"/>
        <charset val="129"/>
        <scheme val="minor"/>
      </rPr>
      <t xml:space="preserve"> -&gt; 일부 생산 / 제품창고 외 수기=전산 비교 진행</t>
    </r>
    <phoneticPr fontId="1" type="noConversion"/>
  </si>
  <si>
    <t>인프라
및 관리도</t>
    <phoneticPr fontId="1" type="noConversion"/>
  </si>
  <si>
    <r>
      <t xml:space="preserve">1. 관리 되는 소수점 단위 변경 가능여부 타진 중
 </t>
    </r>
    <r>
      <rPr>
        <sz val="11"/>
        <color theme="1"/>
        <rFont val="맑은 고딕"/>
        <family val="3"/>
        <charset val="129"/>
        <scheme val="minor"/>
      </rPr>
      <t xml:space="preserve"> 1)</t>
    </r>
    <r>
      <rPr>
        <b/>
        <sz val="11"/>
        <color theme="1"/>
        <rFont val="맑은 고딕"/>
        <family val="3"/>
        <charset val="129"/>
        <scheme val="minor"/>
      </rPr>
      <t xml:space="preserve"> </t>
    </r>
    <r>
      <rPr>
        <sz val="11"/>
        <color theme="1"/>
        <rFont val="맑은 고딕"/>
        <family val="3"/>
        <charset val="129"/>
        <scheme val="minor"/>
      </rPr>
      <t>소모량 적은자재의 관리여부 확인 필요
     - 추후 일괄 투입 or 미관리 처리 등의 다른 프로세스 진행 여부 확인 필요 
  2) 관리되어야 하는 소수점 단위 설정 필요</t>
    </r>
    <phoneticPr fontId="1" type="noConversion"/>
  </si>
  <si>
    <t>No.</t>
    <phoneticPr fontId="1" type="noConversion"/>
  </si>
  <si>
    <t>선합지</t>
    <phoneticPr fontId="1" type="noConversion"/>
  </si>
  <si>
    <t>전산</t>
    <phoneticPr fontId="1" type="noConversion"/>
  </si>
  <si>
    <t>I/F</t>
    <phoneticPr fontId="1" type="noConversion"/>
  </si>
  <si>
    <t>`</t>
    <phoneticPr fontId="1" type="noConversion"/>
  </si>
  <si>
    <t>라벨발생 상세 이력 화면</t>
    <phoneticPr fontId="1" type="noConversion"/>
  </si>
  <si>
    <t>BOM등록</t>
    <phoneticPr fontId="1" type="noConversion"/>
  </si>
  <si>
    <t>자품목투입설정</t>
    <phoneticPr fontId="1" type="noConversion"/>
  </si>
  <si>
    <t>출하의뢰등록</t>
    <phoneticPr fontId="1" type="noConversion"/>
  </si>
  <si>
    <t>제조오더등록</t>
    <phoneticPr fontId="1" type="noConversion"/>
  </si>
  <si>
    <t>재고일괄생성</t>
    <phoneticPr fontId="1" type="noConversion"/>
  </si>
  <si>
    <t>QV</t>
    <phoneticPr fontId="1" type="noConversion"/>
  </si>
  <si>
    <t>8월1주</t>
  </si>
  <si>
    <t>8월2주</t>
  </si>
  <si>
    <t>8월3주</t>
  </si>
  <si>
    <t>8월4주</t>
  </si>
  <si>
    <t>8월5주</t>
    <phoneticPr fontId="1" type="noConversion"/>
  </si>
  <si>
    <t>9월1주</t>
  </si>
  <si>
    <t>9월2주</t>
  </si>
  <si>
    <t>9월3주</t>
  </si>
  <si>
    <t>9월4주</t>
  </si>
  <si>
    <t>단독적용</t>
    <phoneticPr fontId="1" type="noConversion"/>
  </si>
  <si>
    <t>신규OCA
TAPE,</t>
    <phoneticPr fontId="1" type="noConversion"/>
  </si>
  <si>
    <t>지속 등록 예정</t>
    <phoneticPr fontId="1" type="noConversion"/>
  </si>
  <si>
    <t>UB, SUS</t>
    <phoneticPr fontId="1" type="noConversion"/>
  </si>
  <si>
    <t>일부진행</t>
    <phoneticPr fontId="1" type="noConversion"/>
  </si>
  <si>
    <t>전수진행</t>
    <phoneticPr fontId="1" type="noConversion"/>
  </si>
  <si>
    <t>PWA
TEST</t>
    <phoneticPr fontId="1" type="noConversion"/>
  </si>
  <si>
    <t>PWA
1차오픈</t>
    <phoneticPr fontId="1" type="noConversion"/>
  </si>
  <si>
    <t>UB, SUS시작</t>
    <phoneticPr fontId="1" type="noConversion"/>
  </si>
  <si>
    <t>PCPMMA시작</t>
    <phoneticPr fontId="1" type="noConversion"/>
  </si>
  <si>
    <t>DECO시작</t>
    <phoneticPr fontId="1" type="noConversion"/>
  </si>
  <si>
    <t>10월1주</t>
    <phoneticPr fontId="1" type="noConversion"/>
  </si>
  <si>
    <t>10월2주</t>
  </si>
  <si>
    <t>10월3주</t>
  </si>
  <si>
    <t>10월4주</t>
  </si>
  <si>
    <t>전수전용시작</t>
    <phoneticPr fontId="1" type="noConversion"/>
  </si>
  <si>
    <t>포장</t>
    <phoneticPr fontId="1" type="noConversion"/>
  </si>
  <si>
    <t>MES</t>
    <phoneticPr fontId="1" type="noConversion"/>
  </si>
  <si>
    <t>PACK 포장라벨 출력횟수표현으로 출력 미출력 DATA 관리 진행</t>
    <phoneticPr fontId="1" type="noConversion"/>
  </si>
  <si>
    <t>■ 진행간 각 문제점요약</t>
    <phoneticPr fontId="1" type="noConversion"/>
  </si>
  <si>
    <t>QV재고실사</t>
    <phoneticPr fontId="1" type="noConversion"/>
  </si>
  <si>
    <t>문제점정리</t>
    <phoneticPr fontId="1" type="noConversion"/>
  </si>
  <si>
    <t>개선점확인</t>
    <phoneticPr fontId="1" type="noConversion"/>
  </si>
  <si>
    <t>QV,YP 재고실사</t>
    <phoneticPr fontId="1" type="noConversion"/>
  </si>
  <si>
    <t xml:space="preserve">      - 작업 예정 스케줄표</t>
    <phoneticPr fontId="1" type="noConversion"/>
  </si>
  <si>
    <t>내용</t>
    <phoneticPr fontId="1" type="noConversion"/>
  </si>
  <si>
    <t>담당</t>
    <phoneticPr fontId="1" type="noConversion"/>
  </si>
  <si>
    <t>세경</t>
    <phoneticPr fontId="1" type="noConversion"/>
  </si>
  <si>
    <t>세경/
NEXT EYE</t>
    <phoneticPr fontId="1" type="noConversion"/>
  </si>
  <si>
    <t>DB구축</t>
    <phoneticPr fontId="1" type="noConversion"/>
  </si>
  <si>
    <t>조회화면
구축</t>
    <phoneticPr fontId="1" type="noConversion"/>
  </si>
  <si>
    <t>NEXT EYE</t>
    <phoneticPr fontId="1" type="noConversion"/>
  </si>
  <si>
    <t>NEXT EYE</t>
    <phoneticPr fontId="1" type="noConversion"/>
  </si>
  <si>
    <t>NEXT EYE</t>
    <phoneticPr fontId="1" type="noConversion"/>
  </si>
  <si>
    <t>불량상세정보
연동TEST</t>
    <phoneticPr fontId="1" type="noConversion"/>
  </si>
  <si>
    <t>이미지
파일전송TEST</t>
    <phoneticPr fontId="1" type="noConversion"/>
  </si>
  <si>
    <t>전산
PROCESS구축</t>
    <phoneticPr fontId="1" type="noConversion"/>
  </si>
  <si>
    <t>1차연동TEST</t>
    <phoneticPr fontId="1" type="noConversion"/>
  </si>
  <si>
    <t>TABLE수정</t>
    <phoneticPr fontId="1" type="noConversion"/>
  </si>
  <si>
    <t>화면구축 
DATA확인</t>
    <phoneticPr fontId="1" type="noConversion"/>
  </si>
  <si>
    <t>2차연동TEST</t>
    <phoneticPr fontId="1" type="noConversion"/>
  </si>
  <si>
    <t>접속TEST
진행</t>
    <phoneticPr fontId="1" type="noConversion"/>
  </si>
  <si>
    <t>연동TES
자료송부</t>
    <phoneticPr fontId="1" type="noConversion"/>
  </si>
  <si>
    <t>TABLE구성</t>
    <phoneticPr fontId="1" type="noConversion"/>
  </si>
  <si>
    <t>이미지 저장
위치 설정</t>
    <phoneticPr fontId="1" type="noConversion"/>
  </si>
  <si>
    <t>세경</t>
    <phoneticPr fontId="1" type="noConversion"/>
  </si>
  <si>
    <t>7월5주</t>
    <phoneticPr fontId="1" type="noConversion"/>
  </si>
  <si>
    <t>10월1주</t>
  </si>
  <si>
    <t>출하 packing list 관련 조회 화면 오류 수정 - MES구현 가능 여부확인</t>
    <phoneticPr fontId="1" type="noConversion"/>
  </si>
  <si>
    <t>다중 PACK 출하 진행 관련 편의성 향상 - 라벨 완 박스 진행시 자동 라벨 발행 및 포장 단위변경 가능 여부</t>
    <phoneticPr fontId="1" type="noConversion"/>
  </si>
  <si>
    <t>△</t>
    <phoneticPr fontId="1" type="noConversion"/>
  </si>
  <si>
    <t>■ 선합지 구축 관련 일정</t>
    <phoneticPr fontId="1" type="noConversion"/>
  </si>
  <si>
    <t>구분</t>
    <phoneticPr fontId="1" type="noConversion"/>
  </si>
  <si>
    <t>5월</t>
    <phoneticPr fontId="1" type="noConversion"/>
  </si>
  <si>
    <t>6월</t>
    <phoneticPr fontId="1" type="noConversion"/>
  </si>
  <si>
    <t>7월</t>
    <phoneticPr fontId="1" type="noConversion"/>
  </si>
  <si>
    <t>8월</t>
    <phoneticPr fontId="1" type="noConversion"/>
  </si>
  <si>
    <t>비고</t>
    <phoneticPr fontId="1" type="noConversion"/>
  </si>
  <si>
    <t>1주차</t>
    <phoneticPr fontId="1" type="noConversion"/>
  </si>
  <si>
    <t>1주차</t>
    <phoneticPr fontId="1" type="noConversion"/>
  </si>
  <si>
    <t>2주차</t>
    <phoneticPr fontId="1" type="noConversion"/>
  </si>
  <si>
    <t>3주차</t>
    <phoneticPr fontId="1" type="noConversion"/>
  </si>
  <si>
    <t>4주차</t>
    <phoneticPr fontId="1" type="noConversion"/>
  </si>
  <si>
    <t>5주차</t>
    <phoneticPr fontId="1" type="noConversion"/>
  </si>
  <si>
    <t>3주차</t>
    <phoneticPr fontId="1" type="noConversion"/>
  </si>
  <si>
    <t>4주차</t>
    <phoneticPr fontId="1" type="noConversion"/>
  </si>
  <si>
    <t>1주차</t>
    <phoneticPr fontId="1" type="noConversion"/>
  </si>
  <si>
    <t>3주차</t>
    <phoneticPr fontId="1" type="noConversion"/>
  </si>
  <si>
    <t>4주차</t>
    <phoneticPr fontId="1" type="noConversion"/>
  </si>
  <si>
    <t>1주차</t>
    <phoneticPr fontId="1" type="noConversion"/>
  </si>
  <si>
    <t>2주차</t>
    <phoneticPr fontId="1" type="noConversion"/>
  </si>
  <si>
    <t>3주차</t>
    <phoneticPr fontId="1" type="noConversion"/>
  </si>
  <si>
    <t>4주차</t>
    <phoneticPr fontId="1" type="noConversion"/>
  </si>
  <si>
    <t>5주차</t>
    <phoneticPr fontId="1" type="noConversion"/>
  </si>
  <si>
    <t>선합지PLC연동개발</t>
    <phoneticPr fontId="1" type="noConversion"/>
  </si>
  <si>
    <t>조회</t>
    <phoneticPr fontId="1" type="noConversion"/>
  </si>
  <si>
    <t>AutoLami PLC연동테스트</t>
    <phoneticPr fontId="1" type="noConversion"/>
  </si>
  <si>
    <t>ms콘퍼넌트</t>
    <phoneticPr fontId="1" type="noConversion"/>
  </si>
  <si>
    <t>EDI연동 API구축</t>
    <phoneticPr fontId="1" type="noConversion"/>
  </si>
  <si>
    <t>*EDI 회원가입 및 협력사 Token발행 필수</t>
    <phoneticPr fontId="1" type="noConversion"/>
  </si>
  <si>
    <t>EDI연동 테스트</t>
    <phoneticPr fontId="1" type="noConversion"/>
  </si>
  <si>
    <t>*연동데이터는 TEST데이터로 진행가능</t>
    <phoneticPr fontId="1" type="noConversion"/>
  </si>
  <si>
    <t>UTG수입검사 실적등록</t>
    <phoneticPr fontId="1" type="noConversion"/>
  </si>
  <si>
    <t>조회</t>
    <phoneticPr fontId="1" type="noConversion"/>
  </si>
  <si>
    <t>선합지 AutoLami 실적등록</t>
    <phoneticPr fontId="1" type="noConversion"/>
  </si>
  <si>
    <t>선합지 AutoClave 실적등록</t>
    <phoneticPr fontId="1" type="noConversion"/>
  </si>
  <si>
    <t>선합지 전수검사</t>
    <phoneticPr fontId="1" type="noConversion"/>
  </si>
  <si>
    <t>EDI CTQ등록</t>
    <phoneticPr fontId="1" type="noConversion"/>
  </si>
  <si>
    <t>선합지 불량포장</t>
    <phoneticPr fontId="1" type="noConversion"/>
  </si>
  <si>
    <t>선합지 불량반품</t>
    <phoneticPr fontId="1" type="noConversion"/>
  </si>
  <si>
    <t>선합지 Rework</t>
    <phoneticPr fontId="1" type="noConversion"/>
  </si>
  <si>
    <t>SI-QC 검사</t>
    <phoneticPr fontId="1" type="noConversion"/>
  </si>
  <si>
    <t>조회</t>
    <phoneticPr fontId="1" type="noConversion"/>
  </si>
  <si>
    <t>선합지 Pack재포장</t>
    <phoneticPr fontId="1" type="noConversion"/>
  </si>
  <si>
    <t>선합지 QR마킹</t>
    <phoneticPr fontId="1" type="noConversion"/>
  </si>
  <si>
    <t>*Marking설비업체 협업 진행</t>
    <phoneticPr fontId="1" type="noConversion"/>
  </si>
  <si>
    <t>*Marking설비업체 협업 진행</t>
    <phoneticPr fontId="1" type="noConversion"/>
  </si>
  <si>
    <t>일반 QR마킹</t>
    <phoneticPr fontId="1" type="noConversion"/>
  </si>
  <si>
    <t>기타 선합지관련 조회화면</t>
    <phoneticPr fontId="1" type="noConversion"/>
  </si>
  <si>
    <t>조회</t>
    <phoneticPr fontId="1" type="noConversion"/>
  </si>
  <si>
    <t>조회</t>
    <phoneticPr fontId="1" type="noConversion"/>
  </si>
  <si>
    <t>Direct T 연동테스트</t>
    <phoneticPr fontId="1" type="noConversion"/>
  </si>
  <si>
    <t>*Direct T 관련 연동설정 필요</t>
    <phoneticPr fontId="1" type="noConversion"/>
  </si>
  <si>
    <t>각 검사실적 연동</t>
    <phoneticPr fontId="1" type="noConversion"/>
  </si>
  <si>
    <t>최종테스트</t>
    <phoneticPr fontId="1" type="noConversion"/>
  </si>
  <si>
    <t>연동개발</t>
    <phoneticPr fontId="1" type="noConversion"/>
  </si>
  <si>
    <t>Autoclave</t>
    <phoneticPr fontId="1" type="noConversion"/>
  </si>
  <si>
    <t>전수검사</t>
    <phoneticPr fontId="1" type="noConversion"/>
  </si>
  <si>
    <t>반품관련</t>
    <phoneticPr fontId="1" type="noConversion"/>
  </si>
  <si>
    <t>리웍관련</t>
    <phoneticPr fontId="1" type="noConversion"/>
  </si>
  <si>
    <t>SIQC관련</t>
    <phoneticPr fontId="1" type="noConversion"/>
  </si>
  <si>
    <t>재포장관련</t>
    <phoneticPr fontId="1" type="noConversion"/>
  </si>
  <si>
    <t>FULL TEST</t>
    <phoneticPr fontId="1" type="noConversion"/>
  </si>
  <si>
    <t>기능보완</t>
    <phoneticPr fontId="1" type="noConversion"/>
  </si>
  <si>
    <t>7월말목표 8월 수정완료</t>
    <phoneticPr fontId="1" type="noConversion"/>
  </si>
  <si>
    <t>개발</t>
    <phoneticPr fontId="1" type="noConversion"/>
  </si>
  <si>
    <t>공통</t>
    <phoneticPr fontId="1" type="noConversion"/>
  </si>
  <si>
    <t>선합지</t>
    <phoneticPr fontId="1" type="noConversion"/>
  </si>
  <si>
    <t>조회화면 구축</t>
    <phoneticPr fontId="1" type="noConversion"/>
  </si>
  <si>
    <t>8월 말</t>
    <phoneticPr fontId="1" type="noConversion"/>
  </si>
  <si>
    <t>추가의견수립</t>
    <phoneticPr fontId="1" type="noConversion"/>
  </si>
  <si>
    <t>EDI 환경구축</t>
    <phoneticPr fontId="1" type="noConversion"/>
  </si>
  <si>
    <t>연동TEST</t>
    <phoneticPr fontId="1" type="noConversion"/>
  </si>
  <si>
    <t>7월이전 확보진행</t>
    <phoneticPr fontId="1" type="noConversion"/>
  </si>
  <si>
    <t>8월 3주 이전</t>
  </si>
  <si>
    <t>8월 3주 이전</t>
    <phoneticPr fontId="1" type="noConversion"/>
  </si>
  <si>
    <t>●</t>
    <phoneticPr fontId="1" type="noConversion"/>
  </si>
  <si>
    <t>6월 중 완료 및 적용 예정</t>
    <phoneticPr fontId="1" type="noConversion"/>
  </si>
  <si>
    <t>6월 중 현업 
적용예정</t>
    <phoneticPr fontId="1" type="noConversion"/>
  </si>
  <si>
    <t>●</t>
    <phoneticPr fontId="1" type="noConversion"/>
  </si>
  <si>
    <r>
      <rPr>
        <b/>
        <sz val="11"/>
        <color theme="1"/>
        <rFont val="맑은 고딕"/>
        <family val="3"/>
        <charset val="129"/>
        <scheme val="minor"/>
      </rPr>
      <t xml:space="preserve">1. 1차 연동 정보 관련 내용 수립 완료
  - </t>
    </r>
    <r>
      <rPr>
        <sz val="11"/>
        <color theme="1"/>
        <rFont val="맑은 고딕"/>
        <family val="3"/>
        <charset val="129"/>
        <scheme val="minor"/>
      </rPr>
      <t xml:space="preserve">CTQ, EDI 항목은 현재 고객 요청없음
</t>
    </r>
    <r>
      <rPr>
        <b/>
        <sz val="11"/>
        <color theme="1"/>
        <rFont val="맑은 고딕"/>
        <family val="3"/>
        <charset val="129"/>
        <scheme val="minor"/>
      </rPr>
      <t xml:space="preserve">2. 초기 DATA 확보 및 신뢰도 향상을 위한 불량 세부 DATA 전산연동 예정
3. NPI -&gt; 외부(자사서버) 연동 관련 이미지파일 불가 통보 접수
</t>
    </r>
    <r>
      <rPr>
        <sz val="11"/>
        <color theme="1"/>
        <rFont val="맑은 고딕"/>
        <family val="3"/>
        <charset val="129"/>
        <scheme val="minor"/>
      </rPr>
      <t xml:space="preserve">  - 해당 문제 해결을 위해 고객 재 문의 진행 예정
  - SDV 안될 경우 SDC 통해서 확인 진행 예정 </t>
    </r>
    <phoneticPr fontId="1" type="noConversion"/>
  </si>
  <si>
    <t>1차7월말
2차8월말</t>
    <phoneticPr fontId="1" type="noConversion"/>
  </si>
  <si>
    <t>1차7월말
2차8월말</t>
    <phoneticPr fontId="1" type="noConversion"/>
  </si>
  <si>
    <t>5월말</t>
    <phoneticPr fontId="1" type="noConversion"/>
  </si>
  <si>
    <t>●</t>
    <phoneticPr fontId="1" type="noConversion"/>
  </si>
  <si>
    <t>1차6월말
2차7월말</t>
    <phoneticPr fontId="1" type="noConversion"/>
  </si>
  <si>
    <t>1. Total 5M/M 중 2.5M/M 사용
  - 8월 말까지 최종완료 예상
2. 추가 비용 발생 예상</t>
    <phoneticPr fontId="1" type="noConversion"/>
  </si>
  <si>
    <t>업체미팅</t>
    <phoneticPr fontId="1" type="noConversion"/>
  </si>
  <si>
    <t>일정 재 협의</t>
    <phoneticPr fontId="1" type="noConversion"/>
  </si>
  <si>
    <t>연동TEST</t>
    <phoneticPr fontId="1" type="noConversion"/>
  </si>
  <si>
    <t>화면개발</t>
    <phoneticPr fontId="1" type="noConversion"/>
  </si>
  <si>
    <t>내용추가 정리</t>
    <phoneticPr fontId="1" type="noConversion"/>
  </si>
  <si>
    <t>적정성검토</t>
    <phoneticPr fontId="1" type="noConversion"/>
  </si>
  <si>
    <t>현장적용</t>
    <phoneticPr fontId="1" type="noConversion"/>
  </si>
  <si>
    <t>-</t>
    <phoneticPr fontId="1" type="noConversion"/>
  </si>
  <si>
    <t>AOI
관련</t>
    <phoneticPr fontId="1" type="noConversion"/>
  </si>
  <si>
    <t>개발에 따른 일정은 변경진행(7월까지 구축완료 / 8월 말까지 최종개선)</t>
    <phoneticPr fontId="1" type="noConversion"/>
  </si>
  <si>
    <r>
      <t xml:space="preserve">. 기 공유 된  계획대비 일정 지연(2차공유 - 6월 / 현재 기준 - 9월 사용예상)
  </t>
    </r>
    <r>
      <rPr>
        <sz val="11"/>
        <color theme="1"/>
        <rFont val="맑은 고딕"/>
        <family val="3"/>
        <charset val="129"/>
        <scheme val="minor"/>
      </rPr>
      <t>-&gt; 기존 프로세스 방향에 대한 내용 확인 미진하여 재 수립 진행
  -&gt; 추가 화면 및 내용으로 개발 기간 연장
  -&gt; 고객 토큰 발행 지연으로 인해 연동 내용 확인 지연</t>
    </r>
    <phoneticPr fontId="1" type="noConversion"/>
  </si>
  <si>
    <t>박스 포장시 문제점(중복팩킹 / LOT체계 변경 문제 / PDA 중복 처리 문제 / BOX LOT 중복 발생)</t>
    <phoneticPr fontId="1" type="noConversion"/>
  </si>
  <si>
    <t>죄종확인</t>
    <phoneticPr fontId="1" type="noConversion"/>
  </si>
  <si>
    <t>6월 3주차 이전</t>
    <phoneticPr fontId="1" type="noConversion"/>
  </si>
  <si>
    <t>SUS/UB</t>
    <phoneticPr fontId="1" type="noConversion"/>
  </si>
  <si>
    <t>SUS/UB</t>
    <phoneticPr fontId="1" type="noConversion"/>
  </si>
  <si>
    <t>YP,QV</t>
    <phoneticPr fontId="1" type="noConversion"/>
  </si>
  <si>
    <r>
      <rPr>
        <b/>
        <sz val="11"/>
        <color theme="1"/>
        <rFont val="맑은 고딕"/>
        <family val="3"/>
        <charset val="129"/>
        <scheme val="minor"/>
      </rPr>
      <t>. 현재 인수 인계 미 활성화 중</t>
    </r>
    <r>
      <rPr>
        <sz val="11"/>
        <color theme="1"/>
        <rFont val="맑은 고딕"/>
        <family val="2"/>
        <charset val="129"/>
        <scheme val="minor"/>
      </rPr>
      <t xml:space="preserve">
  -&gt; 각 공정운영에 초점에 맞춰 현재는 실적 등록 위주로 작업 진행 중
</t>
    </r>
    <r>
      <rPr>
        <b/>
        <sz val="11"/>
        <color theme="1"/>
        <rFont val="맑은 고딕"/>
        <family val="3"/>
        <charset val="129"/>
        <scheme val="minor"/>
      </rPr>
      <t>. 출하검사 이후 PACK 제품창고 인수인계 관련 내용 정리 필요</t>
    </r>
    <r>
      <rPr>
        <sz val="11"/>
        <color theme="1"/>
        <rFont val="맑은 고딕"/>
        <family val="2"/>
        <charset val="129"/>
        <scheme val="minor"/>
      </rPr>
      <t xml:space="preserve">
  -&gt; 이 부분은 필수 적으로 적용 진행 필요(재고실사 진행을 위함)</t>
    </r>
    <phoneticPr fontId="1" type="noConversion"/>
  </si>
  <si>
    <t>AOI</t>
    <phoneticPr fontId="1" type="noConversion"/>
  </si>
  <si>
    <t>MES</t>
    <phoneticPr fontId="1" type="noConversion"/>
  </si>
  <si>
    <t>불량이미지 관련 확인</t>
    <phoneticPr fontId="1" type="noConversion"/>
  </si>
  <si>
    <t>ERP</t>
    <phoneticPr fontId="1" type="noConversion"/>
  </si>
  <si>
    <t>요청량 대비 과 출고 허용 토록 변경</t>
    <phoneticPr fontId="1" type="noConversion"/>
  </si>
  <si>
    <t>1. 추가 및 변경되는 고객사라벨 내용까지 취합 반영 예정
2. 추가 공수에 대해 개발 계약 진행 예정
3. 일시에 적용 예정으로 문제점 사전 파악 예정
4. 지속적으로 고객 변경 요청 사항 반영 하여일부 보완점 수정 진행 중</t>
    <phoneticPr fontId="1" type="noConversion"/>
  </si>
  <si>
    <t>고객요청 생산간 자료 전송진행(UTG자재/설비 구동값)
(고객내부 요청자료 재 취합 중)</t>
    <phoneticPr fontId="1" type="noConversion"/>
  </si>
  <si>
    <t>연동프로그램(KIT)</t>
    <phoneticPr fontId="1" type="noConversion"/>
  </si>
  <si>
    <t>X</t>
    <phoneticPr fontId="1" type="noConversion"/>
  </si>
  <si>
    <t>7월 중 완료 예상</t>
    <phoneticPr fontId="1" type="noConversion"/>
  </si>
  <si>
    <t>프로세스
기준수립
적용관련</t>
    <phoneticPr fontId="1" type="noConversion"/>
  </si>
  <si>
    <t>내부논의</t>
    <phoneticPr fontId="1" type="noConversion"/>
  </si>
  <si>
    <t>구매, 소요량
RMA, 재검양품
등..</t>
    <phoneticPr fontId="1" type="noConversion"/>
  </si>
  <si>
    <t>6월중 
내용정리</t>
    <phoneticPr fontId="1" type="noConversion"/>
  </si>
  <si>
    <t>업체미팅</t>
    <phoneticPr fontId="1" type="noConversion"/>
  </si>
  <si>
    <t>-</t>
    <phoneticPr fontId="1" type="noConversion"/>
  </si>
  <si>
    <t>6월 중 진행</t>
    <phoneticPr fontId="1" type="noConversion"/>
  </si>
  <si>
    <t>설계 밎 적용TEST</t>
    <phoneticPr fontId="1" type="noConversion"/>
  </si>
  <si>
    <t>7월 중 완료 목표</t>
    <phoneticPr fontId="1" type="noConversion"/>
  </si>
  <si>
    <t>1. 구매관련 사용성 향상을 위한 프로그램 개조 필요
2. 소요량문제에 대한 해결 방법 논의 예정
   (LOT 관리로 진행이 이루어짐)
3. 재검양품, RMA등에 대하 양품 전환 프로세스 수립진행
   (현재 가능한 부분외 추가 개선점 여부)</t>
    <phoneticPr fontId="1" type="noConversion"/>
  </si>
  <si>
    <t>추가 인프라
셋업관련</t>
    <phoneticPr fontId="1" type="noConversion"/>
  </si>
  <si>
    <t>일정상 운영 여부 지속 체크</t>
    <phoneticPr fontId="1" type="noConversion"/>
  </si>
  <si>
    <t>지속진행</t>
  </si>
  <si>
    <t>1. 초기 교육에도 미진 부분으로 에러 발생되는 내용 지속 교육 진행
2. 운영 모델 확대 전개를 위한 기본 정보 입력 진행 체크
3. 신규 제품 진행시 전산 운영 프로세스 확인</t>
    <phoneticPr fontId="1" type="noConversion"/>
  </si>
  <si>
    <t>1. 1차 연동 및 기본 프로그램 구동 확인
2. 기본외 프로그램 구동 가능기능 확인 필요
3. 재 마킹 관련 작동 프로세스 재 확인 필요
4. 마킹기 2종으로 각각 연동 작업 진행 예정
5. 마킹기 신규전산 미 설치되는 문제 해결 예정</t>
    <phoneticPr fontId="1" type="noConversion"/>
  </si>
  <si>
    <t>마킹기</t>
    <phoneticPr fontId="1" type="noConversion"/>
  </si>
  <si>
    <t>KIT 마킹기 신규전산 프로그램 미설치 되는현상 해결 방법 모색</t>
    <phoneticPr fontId="1" type="noConversion"/>
  </si>
  <si>
    <t>6월중</t>
    <phoneticPr fontId="1" type="noConversion"/>
  </si>
  <si>
    <t>적용TEST</t>
    <phoneticPr fontId="1" type="noConversion"/>
  </si>
  <si>
    <t>고객 확인 중</t>
    <phoneticPr fontId="1" type="noConversion"/>
  </si>
  <si>
    <t>현재 구축된 인프라 파악(현장)</t>
    <phoneticPr fontId="1" type="noConversion"/>
  </si>
  <si>
    <t>신규 전산 사용대비 추가 인프라에 대한 파악 진행</t>
    <phoneticPr fontId="1" type="noConversion"/>
  </si>
  <si>
    <t>7월중 진행</t>
    <phoneticPr fontId="1" type="noConversion"/>
  </si>
  <si>
    <t>1차완료
세부자료확인</t>
    <phoneticPr fontId="1" type="noConversion"/>
  </si>
  <si>
    <t>실적 사전TEST</t>
    <phoneticPr fontId="1" type="noConversion"/>
  </si>
  <si>
    <t>X</t>
    <phoneticPr fontId="1" type="noConversion"/>
  </si>
  <si>
    <t>장표화면개발</t>
    <phoneticPr fontId="1" type="noConversion"/>
  </si>
  <si>
    <t>모니터링
작업일보등</t>
    <phoneticPr fontId="1" type="noConversion"/>
  </si>
  <si>
    <t>7월 중 정리</t>
    <phoneticPr fontId="1" type="noConversion"/>
  </si>
  <si>
    <t>-</t>
    <phoneticPr fontId="1" type="noConversion"/>
  </si>
  <si>
    <t>1. 장표에 따른 구성내용 정리 진행
2. 내용에 따라 추가 입력 사항 및 필요 내용 확인
3. 내부 개발 목표 이 외 추가 필요사항은 업체 컨택진행</t>
    <phoneticPr fontId="1" type="noConversion"/>
  </si>
  <si>
    <t>방법확인</t>
    <phoneticPr fontId="1" type="noConversion"/>
  </si>
  <si>
    <t>TEST</t>
    <phoneticPr fontId="1" type="noConversion"/>
  </si>
  <si>
    <t>내용정리</t>
    <phoneticPr fontId="1" type="noConversion"/>
  </si>
  <si>
    <t>작용/추가확인</t>
    <phoneticPr fontId="1" type="noConversion"/>
  </si>
  <si>
    <t xml:space="preserve">   1. 진행 예정 세부사항</t>
    <phoneticPr fontId="1" type="noConversion"/>
  </si>
  <si>
    <t>내용정리</t>
    <phoneticPr fontId="1" type="noConversion"/>
  </si>
  <si>
    <t>내부미팅</t>
    <phoneticPr fontId="1" type="noConversion"/>
  </si>
  <si>
    <t>업체미팅/방향설정</t>
    <phoneticPr fontId="1" type="noConversion"/>
  </si>
  <si>
    <t>PCPMMA</t>
  </si>
  <si>
    <t>DECO</t>
  </si>
  <si>
    <r>
      <rPr>
        <b/>
        <sz val="11"/>
        <color theme="1"/>
        <rFont val="맑은 고딕"/>
        <family val="3"/>
        <charset val="129"/>
        <scheme val="minor"/>
      </rPr>
      <t>. 슬리팅 오더시 여러 상황에 대한 대응이 어려움</t>
    </r>
    <r>
      <rPr>
        <sz val="11"/>
        <color theme="1"/>
        <rFont val="맑은 고딕"/>
        <family val="2"/>
        <charset val="129"/>
        <scheme val="minor"/>
      </rPr>
      <t xml:space="preserve">
  -&gt; 각 CR폭별 슬리팅PO수립시 조합의 어려움
</t>
    </r>
    <r>
      <rPr>
        <sz val="10"/>
        <color theme="1"/>
        <rFont val="맑은 고딕"/>
        <family val="3"/>
        <charset val="129"/>
        <scheme val="minor"/>
      </rPr>
      <t xml:space="preserve">      (CR조합시 슬리팅시 PO개별 등록 및 관리로 인한 번거로움)</t>
    </r>
    <r>
      <rPr>
        <sz val="11"/>
        <color theme="1"/>
        <rFont val="맑은 고딕"/>
        <family val="2"/>
        <charset val="129"/>
        <scheme val="minor"/>
      </rPr>
      <t xml:space="preserve">
  -&gt; MR전체 소진이 아닌 일부 폭 슬리팅시 추가 계산의 어려움
</t>
    </r>
    <r>
      <rPr>
        <sz val="10"/>
        <color theme="1"/>
        <rFont val="맑은 고딕"/>
        <family val="3"/>
        <charset val="129"/>
        <scheme val="minor"/>
      </rPr>
      <t xml:space="preserve">      (1000폭 중 500폭만 슬리팅 후 잔여 폭에 대한 품목 변황이 필요함)</t>
    </r>
    <phoneticPr fontId="1" type="noConversion"/>
  </si>
  <si>
    <t>업체미팅</t>
    <phoneticPr fontId="1" type="noConversion"/>
  </si>
  <si>
    <t>1. 노후화 및 기능저하로 인한 사용성 저하 PC도 파악
2. 전산 입력 범위 증가로 인한 공정LOSS 
3. 필요적용 최적수량 or 단계별 구축 진행</t>
    <phoneticPr fontId="1" type="noConversion"/>
  </si>
  <si>
    <t>연동프로그램(메크로머신)</t>
    <phoneticPr fontId="1" type="noConversion"/>
  </si>
  <si>
    <t xml:space="preserve">   3. 각 품목별 현재 진척 현황(23-06-17 기준)</t>
    <phoneticPr fontId="1" type="noConversion"/>
  </si>
  <si>
    <t>7월초</t>
    <phoneticPr fontId="1" type="noConversion"/>
  </si>
  <si>
    <t>설비 및 프로그램간 연동작업
(연동TEST 6월 중 스케줄 수립예정)</t>
    <phoneticPr fontId="1" type="noConversion"/>
  </si>
  <si>
    <t>신규OCA
TAPE,</t>
  </si>
  <si>
    <t>PWA제외
전수진행</t>
    <phoneticPr fontId="1" type="noConversion"/>
  </si>
  <si>
    <t>PWA,PL제외
전용시작</t>
    <phoneticPr fontId="1" type="noConversion"/>
  </si>
  <si>
    <t xml:space="preserve">1. SDV, SDC NPI 관련 담당다 통한 2차 확인 진행 - 국내 영업팀 통한 추가 확인 진행
2. 자체 TEST 기간 동안 업체 S/W 인력들을 통한 자투리 작업 우선 진행하여 일부 일정 단축 진행 추진
</t>
    <phoneticPr fontId="1" type="noConversion"/>
  </si>
  <si>
    <r>
      <rPr>
        <b/>
        <sz val="11"/>
        <color theme="1"/>
        <rFont val="맑은 고딕"/>
        <family val="2"/>
        <charset val="129"/>
        <scheme val="minor"/>
      </rPr>
      <t xml:space="preserve">1. </t>
    </r>
    <r>
      <rPr>
        <b/>
        <sz val="11"/>
        <color theme="1"/>
        <rFont val="맑은 고딕"/>
        <family val="3"/>
        <charset val="129"/>
        <scheme val="minor"/>
      </rPr>
      <t>오더 內 Lot별 분할입고, 다중품목 입고를 지원 할 수있도록 화면 개발 예정</t>
    </r>
    <r>
      <rPr>
        <sz val="11"/>
        <color theme="1"/>
        <rFont val="맑은 고딕"/>
        <family val="2"/>
        <charset val="129"/>
        <scheme val="minor"/>
      </rPr>
      <t xml:space="preserve">
  1) 화면 구상은 완료</t>
    </r>
    <phoneticPr fontId="1" type="noConversion"/>
  </si>
  <si>
    <r>
      <t xml:space="preserve">1. BL관련 상황별 및 필요 화면 접수예정
  </t>
    </r>
    <r>
      <rPr>
        <sz val="11"/>
        <color theme="1"/>
        <rFont val="맑은 고딕"/>
        <family val="3"/>
        <charset val="129"/>
        <scheme val="minor"/>
      </rPr>
      <t>1) 추가 예상되어지는 여러 상황에 대한 list 접수 개선방향 접수하여 개발방향 수립 예정
  2) 문제사항에 대한 해결법 구상</t>
    </r>
    <phoneticPr fontId="1" type="noConversion"/>
  </si>
  <si>
    <r>
      <t xml:space="preserve">1. 관리 수준의 설정 필요
</t>
    </r>
    <r>
      <rPr>
        <sz val="11"/>
        <color theme="1"/>
        <rFont val="맑은 고딕"/>
        <family val="3"/>
        <charset val="129"/>
        <scheme val="minor"/>
      </rPr>
      <t xml:space="preserve">  1) 관리수준에 따른 추가 인프라 구축 범위 설정진행 예정
  2) 구축현황에 대한 내용은 정리 진행 중</t>
    </r>
    <r>
      <rPr>
        <b/>
        <sz val="11"/>
        <color theme="1"/>
        <rFont val="맑은 고딕"/>
        <family val="2"/>
        <charset val="129"/>
        <scheme val="minor"/>
      </rPr>
      <t xml:space="preserve">
2. 활성화 운영을 위한 필요사항 추가 체크
</t>
    </r>
    <r>
      <rPr>
        <sz val="11"/>
        <color theme="1"/>
        <rFont val="맑은 고딕"/>
        <family val="3"/>
        <charset val="129"/>
        <scheme val="minor"/>
      </rPr>
      <t xml:space="preserve">  1) 전산 실적등록자 별도 운영여부
  2) 자재관리 관련 공정별 필요여부 - 실재고 체크 및 정리 진행 인력 확인 진행
  3) 전산 등록을 위한 방향 수립 필요</t>
    </r>
    <phoneticPr fontId="1" type="noConversion"/>
  </si>
  <si>
    <t xml:space="preserve">. NPI 구역기준 외부로 이미지 파일 이동 안되는 것으로 1차 확인
. 전체 일정 지연으로 전산연동 관련 일정도 연기 </t>
    <phoneticPr fontId="1" type="noConversion"/>
  </si>
  <si>
    <t>. 실적 I/F 관련 잦은 오류 발생으로 인해 근본적인 해결 방안 수립 필요
. I/F TIME 지연으로 인한 재고 오류 발생</t>
    <phoneticPr fontId="1" type="noConversion"/>
  </si>
  <si>
    <r>
      <t xml:space="preserve">1. ERP / MES간 재고 처리에 대한 별도 table or 계산 table 방안 확인진행
</t>
    </r>
    <r>
      <rPr>
        <sz val="11"/>
        <color theme="1"/>
        <rFont val="맑은 고딕"/>
        <family val="3"/>
        <charset val="129"/>
        <scheme val="minor"/>
      </rPr>
      <t xml:space="preserve">  1) I/F 지연 TIME으로 인한 오 투입 가능여부 제어 필요 - 일부 개선 진행
  2) I/F 줄일 수있는 방법 확인 진행</t>
    </r>
    <r>
      <rPr>
        <b/>
        <sz val="11"/>
        <color theme="1"/>
        <rFont val="맑은 고딕"/>
        <family val="2"/>
        <charset val="129"/>
        <scheme val="minor"/>
      </rPr>
      <t xml:space="preserve">
2. I/F 진행 전 별도 확인 가능한 방법 확인(각 DB별 사전 확인 방법)</t>
    </r>
    <phoneticPr fontId="1" type="noConversion"/>
  </si>
  <si>
    <r>
      <t xml:space="preserve">1.  각 공정별 진행 수량으로 계산 되어 질 수있는지 확인 필요
 </t>
    </r>
    <r>
      <rPr>
        <sz val="11"/>
        <color theme="1"/>
        <rFont val="맑은 고딕"/>
        <family val="3"/>
        <charset val="129"/>
        <scheme val="minor"/>
      </rPr>
      <t xml:space="preserve"> 1) I/F 진행 시 ERP / MES 모두 확인 필요
  2) 공정별 계산으로 인한 ERP 오류 발생 예상상황 확인 진행</t>
    </r>
    <phoneticPr fontId="1" type="noConversion"/>
  </si>
  <si>
    <t>1차 국내TEST</t>
    <phoneticPr fontId="1" type="noConversion"/>
  </si>
  <si>
    <t>실물TEST</t>
    <phoneticPr fontId="1" type="noConversion"/>
  </si>
  <si>
    <t>개선점 적용</t>
    <phoneticPr fontId="1" type="noConversion"/>
  </si>
  <si>
    <t>언어싱크 작업</t>
    <phoneticPr fontId="1" type="noConversion"/>
  </si>
  <si>
    <t>O</t>
    <phoneticPr fontId="1" type="noConversion"/>
  </si>
  <si>
    <t>7월 중</t>
  </si>
  <si>
    <t>7월 중</t>
    <phoneticPr fontId="1" type="noConversion"/>
  </si>
  <si>
    <t>7월 2주차</t>
    <phoneticPr fontId="1" type="noConversion"/>
  </si>
  <si>
    <t>6월 말</t>
    <phoneticPr fontId="1" type="noConversion"/>
  </si>
  <si>
    <t>차주 중</t>
    <phoneticPr fontId="1" type="noConversion"/>
  </si>
  <si>
    <t>O</t>
    <phoneticPr fontId="1" type="noConversion"/>
  </si>
  <si>
    <t>TSST운영</t>
    <phoneticPr fontId="1" type="noConversion"/>
  </si>
  <si>
    <t>문제점확인</t>
    <phoneticPr fontId="1" type="noConversion"/>
  </si>
  <si>
    <t>개선진행</t>
    <phoneticPr fontId="1" type="noConversion"/>
  </si>
  <si>
    <t>1처 오픈진행</t>
    <phoneticPr fontId="1" type="noConversion"/>
  </si>
  <si>
    <t>전용시작</t>
    <phoneticPr fontId="1" type="noConversion"/>
  </si>
  <si>
    <t>최종개선</t>
    <phoneticPr fontId="1" type="noConversion"/>
  </si>
  <si>
    <t>8월 초 진행</t>
    <phoneticPr fontId="1" type="noConversion"/>
  </si>
  <si>
    <t>9월 진행</t>
    <phoneticPr fontId="1" type="noConversion"/>
  </si>
  <si>
    <t>개발내용점검</t>
    <phoneticPr fontId="1" type="noConversion"/>
  </si>
  <si>
    <t>및 수정작업진행</t>
    <phoneticPr fontId="1" type="noConversion"/>
  </si>
  <si>
    <t>DECO</t>
    <phoneticPr fontId="1" type="noConversion"/>
  </si>
  <si>
    <t>7/24 목표</t>
    <phoneticPr fontId="1" type="noConversion"/>
  </si>
  <si>
    <t>7/3 목표</t>
    <phoneticPr fontId="1" type="noConversion"/>
  </si>
  <si>
    <t>추가개선확인</t>
    <phoneticPr fontId="1" type="noConversion"/>
  </si>
  <si>
    <t>개선작업</t>
    <phoneticPr fontId="1" type="noConversion"/>
  </si>
  <si>
    <t>BOM</t>
    <phoneticPr fontId="1" type="noConversion"/>
  </si>
  <si>
    <t>일부분 진행</t>
    <phoneticPr fontId="1" type="noConversion"/>
  </si>
  <si>
    <t>UB FILM 자재  LOT 기준 유효일자 관리 - 검토메일 송부 완료 (우선 기존POP활용) - 보류중</t>
    <phoneticPr fontId="1" type="noConversion"/>
  </si>
  <si>
    <t>보류중</t>
    <phoneticPr fontId="1" type="noConversion"/>
  </si>
  <si>
    <t>구매여부 결정</t>
    <phoneticPr fontId="1" type="noConversion"/>
  </si>
  <si>
    <t>O</t>
    <phoneticPr fontId="1" type="noConversion"/>
  </si>
  <si>
    <t>수검</t>
    <phoneticPr fontId="1" type="noConversion"/>
  </si>
  <si>
    <t>개발/간이 TEST</t>
    <phoneticPr fontId="1" type="noConversion"/>
  </si>
  <si>
    <t>28일실연동TEST</t>
    <phoneticPr fontId="1" type="noConversion"/>
  </si>
  <si>
    <t>B5관련 CELL 라벨 및 전산 프로세스 방향 설정 (초품 및 출하가지 확인)</t>
    <phoneticPr fontId="1" type="noConversion"/>
  </si>
  <si>
    <t>2023-05-23 /지속확인중</t>
    <phoneticPr fontId="1" type="noConversion"/>
  </si>
  <si>
    <t>추가개선</t>
    <phoneticPr fontId="1" type="noConversion"/>
  </si>
  <si>
    <t>TEST</t>
    <phoneticPr fontId="1" type="noConversion"/>
  </si>
  <si>
    <t>6월 1일부터</t>
    <phoneticPr fontId="1" type="noConversion"/>
  </si>
  <si>
    <r>
      <t xml:space="preserve">. </t>
    </r>
    <r>
      <rPr>
        <b/>
        <u/>
        <sz val="11"/>
        <color theme="1"/>
        <rFont val="맑은 고딕"/>
        <family val="3"/>
        <charset val="129"/>
        <scheme val="minor"/>
      </rPr>
      <t>전산 필수 항목으로 인식이 안되어 있어 접목에 어려움이 있음 - (2중 등록 상황)</t>
    </r>
    <r>
      <rPr>
        <b/>
        <sz val="11"/>
        <color theme="1"/>
        <rFont val="맑은 고딕"/>
        <family val="3"/>
        <charset val="129"/>
        <scheme val="minor"/>
      </rPr>
      <t xml:space="preserve">
. 다중 설비 및 자재 투입 등으로 관리진행시 추가 인프라 구축이 필요함</t>
    </r>
    <phoneticPr fontId="1" type="noConversion"/>
  </si>
  <si>
    <t>업무 진행 방향</t>
    <phoneticPr fontId="1" type="noConversion"/>
  </si>
  <si>
    <t xml:space="preserve">    □ 각 부분별 적용 시점 재 확인</t>
    <phoneticPr fontId="1" type="noConversion"/>
  </si>
  <si>
    <t>지속 등록 진행</t>
    <phoneticPr fontId="1" type="noConversion"/>
  </si>
  <si>
    <t xml:space="preserve">   4. 진행 간 문제점(별도PAGE 구성)</t>
    <phoneticPr fontId="1" type="noConversion"/>
  </si>
  <si>
    <t>해결 여부</t>
    <phoneticPr fontId="1" type="noConversion"/>
  </si>
  <si>
    <t>1. 내부 미팅 후 업체 미팅예정</t>
    <phoneticPr fontId="1" type="noConversion"/>
  </si>
  <si>
    <t>1. 내부 개선 작업 진행 에정</t>
    <phoneticPr fontId="1" type="noConversion"/>
  </si>
  <si>
    <t>1. 업체 미팅예쩡</t>
    <phoneticPr fontId="1" type="noConversion"/>
  </si>
  <si>
    <t>1. 내부 개선 작업 및 적용 TEST진행예정</t>
    <phoneticPr fontId="1" type="noConversion"/>
  </si>
  <si>
    <t>-</t>
    <phoneticPr fontId="1" type="noConversion"/>
  </si>
  <si>
    <t>1. 개발인력 추가 투입을 통한 일정 단축 가능여부 확인
2. 고객 토큰 발행 일정 재확인 필요(현재 기준 6월 중 답변 접수 예정)
3. 조회 화면은 자체 개발 가능 항목 별도 설정 하여 일정 단축 진행
4. 일부 기능 활성화시 선 진행을 통한 문제점 사전 파악 진행</t>
    <phoneticPr fontId="1" type="noConversion"/>
  </si>
  <si>
    <t>진행 예정</t>
    <phoneticPr fontId="1" type="noConversion"/>
  </si>
  <si>
    <t xml:space="preserve">  - BOM / 라우팅 등록 예정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</si>
</sst>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mm&quot;월&quot;\ dd&quot;일&quot;"/>
    <numFmt numFmtId="177" formatCode="m&quot;/&quot;d;@"/>
    <numFmt numFmtId="178" formatCode="0.0%"/>
    <numFmt numFmtId="179" formatCode="@&quot;(운영)&quot;"/>
    <numFmt numFmtId="180" formatCode="0_ "/>
    <numFmt numFmtId="181" formatCode="0_);[Red]\(0\)"/>
  </numFmts>
  <fonts count="42">
    <font>
      <sz val="11"/>
      <color theme="1"/>
      <name val="맑은 고딕"/>
      <family val="2"/>
      <charset val="129"/>
      <scheme val="minor"/>
    </font>
    <font>
      <sz val="8"/>
      <name val="맑은 고딕"/>
      <family val="2"/>
      <charset val="129"/>
      <scheme val="minor"/>
    </font>
    <font>
      <b/>
      <sz val="16"/>
      <color theme="1"/>
      <name val="맑은 고딕"/>
      <family val="3"/>
      <charset val="129"/>
      <scheme val="minor"/>
    </font>
    <font>
      <b/>
      <sz val="14"/>
      <color theme="1"/>
      <name val="맑은 고딕"/>
      <family val="3"/>
      <charset val="129"/>
      <scheme val="minor"/>
    </font>
    <font>
      <b/>
      <sz val="11"/>
      <color theme="0"/>
      <name val="맑은 고딕"/>
      <family val="3"/>
      <charset val="129"/>
      <scheme val="minor"/>
    </font>
    <font>
      <strike/>
      <sz val="11"/>
      <color theme="1"/>
      <name val="맑은 고딕"/>
      <family val="2"/>
      <charset val="129"/>
      <scheme val="minor"/>
    </font>
    <font>
      <strike/>
      <sz val="11"/>
      <color theme="1"/>
      <name val="맑은 고딕"/>
      <family val="3"/>
      <charset val="129"/>
      <scheme val="minor"/>
    </font>
    <font>
      <strike/>
      <sz val="12"/>
      <color theme="1"/>
      <name val="맑은 고딕"/>
      <family val="3"/>
      <charset val="129"/>
      <scheme val="minor"/>
    </font>
    <font>
      <sz val="12"/>
      <color theme="1"/>
      <name val="맑은 고딕"/>
      <family val="2"/>
      <charset val="129"/>
      <scheme val="minor"/>
    </font>
    <font>
      <b/>
      <sz val="11"/>
      <color theme="1"/>
      <name val="맑은 고딕"/>
      <family val="3"/>
      <charset val="129"/>
      <scheme val="minor"/>
    </font>
    <font>
      <u/>
      <sz val="11"/>
      <color theme="10"/>
      <name val="맑은 고딕"/>
      <family val="2"/>
      <charset val="129"/>
      <scheme val="minor"/>
    </font>
    <font>
      <sz val="10"/>
      <color theme="1"/>
      <name val="맑은 고딕"/>
      <family val="2"/>
      <charset val="129"/>
      <scheme val="minor"/>
    </font>
    <font>
      <b/>
      <sz val="10"/>
      <color theme="1"/>
      <name val="맑은 고딕"/>
      <family val="3"/>
      <charset val="129"/>
      <scheme val="minor"/>
    </font>
    <font>
      <b/>
      <u/>
      <sz val="11"/>
      <color theme="1"/>
      <name val="맑은 고딕"/>
      <family val="3"/>
      <charset val="129"/>
      <scheme val="minor"/>
    </font>
    <font>
      <sz val="11"/>
      <color theme="1"/>
      <name val="맑은 고딕"/>
      <family val="2"/>
      <scheme val="minor"/>
    </font>
    <font>
      <b/>
      <sz val="11"/>
      <color rgb="FFFF0000"/>
      <name val="맑은 고딕"/>
      <family val="3"/>
      <charset val="129"/>
      <scheme val="minor"/>
    </font>
    <font>
      <sz val="11"/>
      <color theme="1"/>
      <name val="맑은 고딕"/>
      <family val="3"/>
      <charset val="129"/>
      <scheme val="minor"/>
    </font>
    <font>
      <b/>
      <sz val="12"/>
      <color theme="1"/>
      <name val="맑은 고딕"/>
      <family val="3"/>
      <charset val="129"/>
      <scheme val="minor"/>
    </font>
    <font>
      <sz val="11"/>
      <name val="맑은 고딕"/>
      <family val="3"/>
      <charset val="129"/>
      <scheme val="minor"/>
    </font>
    <font>
      <sz val="10"/>
      <name val="맑은 고딕"/>
      <family val="3"/>
      <charset val="129"/>
      <scheme val="minor"/>
    </font>
    <font>
      <sz val="10"/>
      <color theme="1"/>
      <name val="맑은 고딕"/>
      <family val="3"/>
      <charset val="129"/>
      <scheme val="minor"/>
    </font>
    <font>
      <b/>
      <sz val="10"/>
      <color theme="0"/>
      <name val="맑은 고딕"/>
      <family val="3"/>
      <charset val="129"/>
      <scheme val="minor"/>
    </font>
    <font>
      <sz val="11"/>
      <color theme="1"/>
      <name val="맑은 고딕"/>
      <family val="2"/>
      <charset val="129"/>
      <scheme val="minor"/>
    </font>
    <font>
      <sz val="11"/>
      <name val="맑은 고딕"/>
      <family val="2"/>
      <charset val="129"/>
      <scheme val="minor"/>
    </font>
    <font>
      <sz val="12"/>
      <color theme="1"/>
      <name val="맑은 고딕"/>
      <family val="3"/>
      <charset val="129"/>
      <scheme val="minor"/>
    </font>
    <font>
      <b/>
      <sz val="12"/>
      <color theme="0"/>
      <name val="맑은 고딕"/>
      <family val="3"/>
      <charset val="129"/>
      <scheme val="minor"/>
    </font>
    <font>
      <b/>
      <sz val="9"/>
      <color indexed="81"/>
      <name val="Tahoma"/>
      <family val="2"/>
    </font>
    <font>
      <b/>
      <sz val="9"/>
      <color indexed="81"/>
      <name val="돋움"/>
      <family val="3"/>
      <charset val="129"/>
    </font>
    <font>
      <b/>
      <sz val="12"/>
      <color rgb="FFFF0000"/>
      <name val="맑은 고딕"/>
      <family val="3"/>
      <charset val="129"/>
      <scheme val="minor"/>
    </font>
    <font>
      <b/>
      <sz val="11"/>
      <name val="맑은 고딕"/>
      <family val="3"/>
      <charset val="129"/>
      <scheme val="minor"/>
    </font>
    <font>
      <sz val="9"/>
      <color theme="1"/>
      <name val="맑은 고딕"/>
      <family val="3"/>
      <charset val="129"/>
      <scheme val="minor"/>
    </font>
    <font>
      <sz val="10"/>
      <color rgb="FFFF0000"/>
      <name val="맑은 고딕"/>
      <family val="3"/>
      <charset val="129"/>
      <scheme val="minor"/>
    </font>
    <font>
      <sz val="10"/>
      <color theme="0" tint="-0.499984740745262"/>
      <name val="맑은 고딕"/>
      <family val="2"/>
      <charset val="129"/>
      <scheme val="minor"/>
    </font>
    <font>
      <sz val="10"/>
      <color theme="0" tint="-0.499984740745262"/>
      <name val="맑은 고딕"/>
      <family val="3"/>
      <charset val="129"/>
      <scheme val="minor"/>
    </font>
    <font>
      <b/>
      <sz val="11"/>
      <color theme="1"/>
      <name val="맑은 고딕"/>
      <family val="2"/>
      <charset val="129"/>
      <scheme val="minor"/>
    </font>
    <font>
      <b/>
      <sz val="11"/>
      <color rgb="FF0070C0"/>
      <name val="맑은 고딕"/>
      <family val="3"/>
      <charset val="129"/>
      <scheme val="minor"/>
    </font>
    <font>
      <b/>
      <sz val="11"/>
      <color rgb="FFC00000"/>
      <name val="맑은 고딕"/>
      <family val="3"/>
      <charset val="129"/>
      <scheme val="minor"/>
    </font>
    <font>
      <sz val="8"/>
      <color theme="1"/>
      <name val="맑은 고딕"/>
      <family val="2"/>
      <charset val="129"/>
      <scheme val="minor"/>
    </font>
    <font>
      <sz val="8"/>
      <color theme="1"/>
      <name val="맑은 고딕"/>
      <family val="3"/>
      <charset val="129"/>
      <scheme val="minor"/>
    </font>
    <font>
      <sz val="9"/>
      <color theme="1"/>
      <name val="맑은 고딕"/>
      <family val="2"/>
      <charset val="129"/>
      <scheme val="minor"/>
    </font>
    <font>
      <u/>
      <sz val="11"/>
      <name val="맑은 고딕"/>
      <family val="2"/>
      <charset val="129"/>
      <scheme val="minor"/>
    </font>
    <font>
      <b/>
      <sz val="8"/>
      <color theme="1"/>
      <name val="맑은 고딕"/>
      <family val="3"/>
      <charset val="129"/>
      <scheme val="minor"/>
    </font>
  </fonts>
  <fills count="17">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rgb="FF00B050"/>
        <bgColor indexed="64"/>
      </patternFill>
    </fill>
    <fill>
      <patternFill patternType="solid">
        <fgColor rgb="FFFFFF00"/>
        <bgColor indexed="64"/>
      </patternFill>
    </fill>
    <fill>
      <patternFill patternType="solid">
        <fgColor theme="3"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8" tint="0.59999389629810485"/>
        <bgColor indexed="64"/>
      </patternFill>
    </fill>
  </fills>
  <borders count="150">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theme="0" tint="-0.34998626667073579"/>
      </left>
      <right style="thin">
        <color theme="0" tint="-0.14993743705557422"/>
      </right>
      <top style="thin">
        <color theme="0" tint="-0.34998626667073579"/>
      </top>
      <bottom/>
      <diagonal/>
    </border>
    <border>
      <left style="thin">
        <color theme="0" tint="-0.14993743705557422"/>
      </left>
      <right style="thin">
        <color theme="0" tint="-0.14993743705557422"/>
      </right>
      <top style="thin">
        <color theme="0" tint="-0.34998626667073579"/>
      </top>
      <bottom/>
      <diagonal/>
    </border>
    <border>
      <left style="thin">
        <color theme="0" tint="-0.14993743705557422"/>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14993743705557422"/>
      </bottom>
      <diagonal/>
    </border>
    <border>
      <left/>
      <right/>
      <top style="thin">
        <color theme="0" tint="-0.34998626667073579"/>
      </top>
      <bottom style="thin">
        <color theme="0" tint="-0.14993743705557422"/>
      </bottom>
      <diagonal/>
    </border>
    <border>
      <left/>
      <right style="thin">
        <color theme="0" tint="-0.34998626667073579"/>
      </right>
      <top style="thin">
        <color theme="0" tint="-0.34998626667073579"/>
      </top>
      <bottom style="thin">
        <color theme="0" tint="-0.14993743705557422"/>
      </bottom>
      <diagonal/>
    </border>
    <border>
      <left style="thin">
        <color theme="0" tint="-0.34998626667073579"/>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top/>
      <bottom style="thin">
        <color theme="0" tint="-0.14993743705557422"/>
      </bottom>
      <diagonal/>
    </border>
    <border>
      <left/>
      <right/>
      <top/>
      <bottom style="thin">
        <color theme="0" tint="-0.14993743705557422"/>
      </bottom>
      <diagonal/>
    </border>
    <border>
      <left/>
      <right style="thin">
        <color theme="0" tint="-0.34998626667073579"/>
      </right>
      <top/>
      <bottom style="thin">
        <color theme="0" tint="-0.14993743705557422"/>
      </bottom>
      <diagonal/>
    </border>
    <border>
      <left style="thin">
        <color theme="0" tint="-0.34998626667073579"/>
      </left>
      <right style="thin">
        <color theme="0" tint="-0.34998626667073579"/>
      </right>
      <top/>
      <bottom style="thin">
        <color theme="0" tint="-0.14993743705557422"/>
      </bottom>
      <diagonal/>
    </border>
    <border>
      <left style="thin">
        <color theme="0" tint="-0.34998626667073579"/>
      </left>
      <right style="thin">
        <color theme="0" tint="-0.14993743705557422"/>
      </right>
      <top style="thin">
        <color theme="0" tint="-0.14993743705557422"/>
      </top>
      <bottom style="thin">
        <color theme="0" tint="-0.34998626667073579"/>
      </bottom>
      <diagonal/>
    </border>
    <border>
      <left style="thin">
        <color theme="0" tint="-0.14993743705557422"/>
      </left>
      <right style="thin">
        <color theme="0" tint="-0.14993743705557422"/>
      </right>
      <top style="thin">
        <color theme="0" tint="-0.14993743705557422"/>
      </top>
      <bottom style="thin">
        <color theme="0" tint="-0.34998626667073579"/>
      </bottom>
      <diagonal/>
    </border>
    <border>
      <left style="thin">
        <color theme="0" tint="-0.14993743705557422"/>
      </left>
      <right style="thin">
        <color theme="0" tint="-0.14996795556505021"/>
      </right>
      <top style="thin">
        <color theme="0" tint="-0.14993743705557422"/>
      </top>
      <bottom style="thin">
        <color theme="0" tint="-0.34998626667073579"/>
      </bottom>
      <diagonal/>
    </border>
    <border>
      <left style="thin">
        <color theme="0" tint="-0.14993743705557422"/>
      </left>
      <right style="thin">
        <color theme="0" tint="-0.34998626667073579"/>
      </right>
      <top style="thin">
        <color theme="0" tint="-0.14993743705557422"/>
      </top>
      <bottom style="thin">
        <color theme="0" tint="-0.34998626667073579"/>
      </bottom>
      <diagonal/>
    </border>
    <border>
      <left style="thin">
        <color theme="0" tint="-0.34998626667073579"/>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34998626667073579"/>
      </right>
      <top style="thin">
        <color theme="0" tint="-0.14993743705557422"/>
      </top>
      <bottom style="thin">
        <color theme="0" tint="-0.14993743705557422"/>
      </bottom>
      <diagonal/>
    </border>
    <border>
      <left style="thin">
        <color theme="0" tint="-0.34998626667073579"/>
      </left>
      <right style="thin">
        <color theme="0" tint="-0.34998626667073579"/>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6795556505021"/>
      </right>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06918546098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34998626667073579"/>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style="thin">
        <color theme="0" tint="-0.34998626667073579"/>
      </left>
      <right style="thin">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34998626667073579"/>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14996795556505021"/>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14993743705557422"/>
      </top>
      <bottom/>
      <diagonal/>
    </border>
    <border>
      <left style="thin">
        <color theme="0" tint="-0.34998626667073579"/>
      </left>
      <right style="thin">
        <color theme="0" tint="-0.34998626667073579"/>
      </right>
      <top style="thin">
        <color theme="0" tint="-0.14990691854609822"/>
      </top>
      <bottom style="thin">
        <color theme="0" tint="-0.14990691854609822"/>
      </bottom>
      <diagonal/>
    </border>
    <border>
      <left style="thin">
        <color theme="0" tint="-0.34998626667073579"/>
      </left>
      <right style="thin">
        <color theme="0" tint="-0.34998626667073579"/>
      </right>
      <top style="thin">
        <color theme="0" tint="-0.14990691854609822"/>
      </top>
      <bottom style="thin">
        <color theme="0" tint="-0.14993743705557422"/>
      </bottom>
      <diagonal/>
    </border>
    <border>
      <left style="thin">
        <color theme="0" tint="-0.34998626667073579"/>
      </left>
      <right style="thin">
        <color theme="0" tint="-0.34998626667073579"/>
      </right>
      <top style="thin">
        <color theme="0" tint="-0.14993743705557422"/>
      </top>
      <bottom style="thin">
        <color theme="0" tint="-0.14990691854609822"/>
      </bottom>
      <diagonal/>
    </border>
    <border>
      <left style="thin">
        <color theme="0" tint="-0.34998626667073579"/>
      </left>
      <right style="thin">
        <color theme="0" tint="-0.34998626667073579"/>
      </right>
      <top/>
      <bottom style="thin">
        <color theme="0" tint="-0.14990691854609822"/>
      </bottom>
      <diagonal/>
    </border>
    <border>
      <left style="thin">
        <color theme="0" tint="-0.34998626667073579"/>
      </left>
      <right style="thin">
        <color theme="0" tint="-0.34998626667073579"/>
      </right>
      <top/>
      <bottom style="thin">
        <color theme="0" tint="-0.14996795556505021"/>
      </bottom>
      <diagonal/>
    </border>
    <border>
      <left style="thin">
        <color theme="0" tint="-0.34998626667073579"/>
      </left>
      <right style="thin">
        <color theme="0" tint="-0.34998626667073579"/>
      </right>
      <top style="thin">
        <color theme="0" tint="-0.14996795556505021"/>
      </top>
      <bottom style="thin">
        <color theme="0" tint="-0.14996795556505021"/>
      </bottom>
      <diagonal/>
    </border>
    <border>
      <left/>
      <right style="thin">
        <color theme="0" tint="-0.14990691854609822"/>
      </right>
      <top style="thin">
        <color theme="0" tint="-0.14990691854609822"/>
      </top>
      <bottom/>
      <diagonal/>
    </border>
    <border>
      <left/>
      <right style="thin">
        <color theme="0" tint="-0.14990691854609822"/>
      </right>
      <top/>
      <bottom style="thin">
        <color theme="0" tint="-0.14990691854609822"/>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34998626667073579"/>
      </left>
      <right style="thin">
        <color theme="0" tint="-0.14990691854609822"/>
      </right>
      <top style="thin">
        <color theme="0" tint="-0.14993743705557422"/>
      </top>
      <bottom style="thin">
        <color theme="0" tint="-0.14996795556505021"/>
      </bottom>
      <diagonal/>
    </border>
    <border>
      <left/>
      <right/>
      <top/>
      <bottom style="thin">
        <color theme="0" tint="-0.14996795556505021"/>
      </bottom>
      <diagonal/>
    </border>
    <border>
      <left/>
      <right/>
      <top style="thin">
        <color theme="0" tint="-0.14996795556505021"/>
      </top>
      <bottom style="thin">
        <color theme="0" tint="-0.34998626667073579"/>
      </bottom>
      <diagonal/>
    </border>
    <border>
      <left/>
      <right/>
      <top style="thin">
        <color theme="0" tint="-0.34998626667073579"/>
      </top>
      <bottom style="thin">
        <color theme="0" tint="-0.14996795556505021"/>
      </bottom>
      <diagonal/>
    </border>
    <border>
      <left style="thin">
        <color theme="0" tint="-0.14993743705557422"/>
      </left>
      <right style="thin">
        <color theme="0" tint="-0.14993743705557422"/>
      </right>
      <top/>
      <bottom/>
      <diagonal/>
    </border>
    <border>
      <left/>
      <right style="thin">
        <color theme="0" tint="-0.14993743705557422"/>
      </right>
      <top style="thin">
        <color theme="0" tint="-0.14993743705557422"/>
      </top>
      <bottom/>
      <diagonal/>
    </border>
    <border>
      <left style="thin">
        <color theme="0" tint="-0.14996795556505021"/>
      </left>
      <right style="thin">
        <color theme="0" tint="-0.14993743705557422"/>
      </right>
      <top style="thin">
        <color theme="0" tint="-0.14996795556505021"/>
      </top>
      <bottom style="thin">
        <color theme="0" tint="-0.14993743705557422"/>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
      <left style="thin">
        <color theme="0" tint="-0.14993743705557422"/>
      </left>
      <right style="thin">
        <color theme="0" tint="-0.14996795556505021"/>
      </right>
      <top style="thin">
        <color theme="0" tint="-0.14996795556505021"/>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right style="thin">
        <color theme="0" tint="-0.14993743705557422"/>
      </right>
      <top style="thin">
        <color theme="0" tint="-0.14993743705557422"/>
      </top>
      <bottom style="thin">
        <color theme="0" tint="-0.14996795556505021"/>
      </bottom>
      <diagonal/>
    </border>
    <border>
      <left style="thin">
        <color theme="0" tint="-0.14996795556505021"/>
      </left>
      <right style="thin">
        <color theme="0" tint="-0.14993743705557422"/>
      </right>
      <top style="thin">
        <color theme="0" tint="-0.14993743705557422"/>
      </top>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34998626667073579"/>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6795556505021"/>
      </left>
      <right/>
      <top/>
      <bottom/>
      <diagonal/>
    </border>
    <border>
      <left/>
      <right/>
      <top style="thin">
        <color theme="0" tint="-0.14990691854609822"/>
      </top>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34998626667073579"/>
      </left>
      <right style="thin">
        <color theme="0" tint="-0.14990691854609822"/>
      </right>
      <top style="thin">
        <color theme="0" tint="-0.14993743705557422"/>
      </top>
      <bottom/>
      <diagonal/>
    </border>
    <border>
      <left style="thin">
        <color theme="0" tint="-0.1498764000366222"/>
      </left>
      <right style="thin">
        <color theme="0" tint="-0.1498764000366222"/>
      </right>
      <top style="thin">
        <color theme="0" tint="-0.1498764000366222"/>
      </top>
      <bottom/>
      <diagonal/>
    </border>
    <border>
      <left style="thin">
        <color theme="0" tint="-0.1498764000366222"/>
      </left>
      <right/>
      <top style="thin">
        <color theme="0" tint="-0.1498764000366222"/>
      </top>
      <bottom style="thin">
        <color theme="0" tint="-0.1498764000366222"/>
      </bottom>
      <diagonal/>
    </border>
    <border>
      <left/>
      <right/>
      <top style="thin">
        <color theme="0" tint="-0.1498764000366222"/>
      </top>
      <bottom style="thin">
        <color theme="0" tint="-0.1498764000366222"/>
      </bottom>
      <diagonal/>
    </border>
    <border>
      <left/>
      <right style="thin">
        <color theme="0" tint="-0.1498764000366222"/>
      </right>
      <top style="thin">
        <color theme="0" tint="-0.1498764000366222"/>
      </top>
      <bottom style="thin">
        <color theme="0" tint="-0.1498764000366222"/>
      </bottom>
      <diagonal/>
    </border>
    <border>
      <left/>
      <right style="thin">
        <color theme="0" tint="-0.14993743705557422"/>
      </right>
      <top/>
      <bottom/>
      <diagonal/>
    </border>
    <border>
      <left style="thin">
        <color theme="0" tint="-0.14996795556505021"/>
      </left>
      <right/>
      <top style="thin">
        <color theme="0" tint="-0.34998626667073579"/>
      </top>
      <bottom style="thin">
        <color theme="0" tint="-0.14996795556505021"/>
      </bottom>
      <diagonal/>
    </border>
    <border>
      <left/>
      <right style="thin">
        <color theme="0" tint="-0.14996795556505021"/>
      </right>
      <top style="thin">
        <color theme="0" tint="-0.34998626667073579"/>
      </top>
      <bottom style="thin">
        <color theme="0" tint="-0.14996795556505021"/>
      </bottom>
      <diagonal/>
    </border>
    <border>
      <left/>
      <right style="thin">
        <color theme="0" tint="-0.14996795556505021"/>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diagonal/>
    </border>
    <border>
      <left style="thin">
        <color theme="0" tint="-0.34998626667073579"/>
      </left>
      <right/>
      <top style="thin">
        <color theme="0" tint="-0.14993743705557422"/>
      </top>
      <bottom style="thin">
        <color theme="0" tint="-0.14993743705557422"/>
      </bottom>
      <diagonal/>
    </border>
    <border>
      <left style="thin">
        <color theme="0" tint="-0.34998626667073579"/>
      </left>
      <right/>
      <top style="thin">
        <color theme="0" tint="-0.14993743705557422"/>
      </top>
      <bottom/>
      <diagonal/>
    </border>
    <border>
      <left style="thin">
        <color theme="0" tint="-0.1498764000366222"/>
      </left>
      <right style="thin">
        <color theme="0" tint="-0.1498764000366222"/>
      </right>
      <top/>
      <bottom style="thin">
        <color theme="0" tint="-0.1498764000366222"/>
      </bottom>
      <diagonal/>
    </border>
    <border>
      <left style="thin">
        <color theme="0" tint="-0.14993743705557422"/>
      </left>
      <right style="thin">
        <color theme="0" tint="-0.14993743705557422"/>
      </right>
      <top style="thin">
        <color theme="0" tint="-0.34998626667073579"/>
      </top>
      <bottom style="thin">
        <color theme="0" tint="-0.14993743705557422"/>
      </bottom>
      <diagonal/>
    </border>
    <border>
      <left style="thin">
        <color theme="0" tint="-0.14993743705557422"/>
      </left>
      <right style="thin">
        <color theme="0" tint="-0.14993743705557422"/>
      </right>
      <top style="thin">
        <color theme="0" tint="-0.34998626667073579"/>
      </top>
      <bottom style="thin">
        <color theme="0" tint="-0.34998626667073579"/>
      </bottom>
      <diagonal/>
    </border>
    <border>
      <left/>
      <right style="thin">
        <color theme="0" tint="-0.14993743705557422"/>
      </right>
      <top style="thin">
        <color theme="0" tint="-0.34998626667073579"/>
      </top>
      <bottom style="thin">
        <color theme="0" tint="-0.34998626667073579"/>
      </bottom>
      <diagonal/>
    </border>
    <border>
      <left style="thin">
        <color theme="0" tint="-0.14993743705557422"/>
      </left>
      <right/>
      <top style="thin">
        <color theme="0" tint="-0.34998626667073579"/>
      </top>
      <bottom style="thin">
        <color theme="0" tint="-0.34998626667073579"/>
      </bottom>
      <diagonal/>
    </border>
    <border>
      <left/>
      <right style="thin">
        <color theme="0" tint="-0.14993743705557422"/>
      </right>
      <top style="thin">
        <color theme="0" tint="-0.34998626667073579"/>
      </top>
      <bottom/>
      <diagonal/>
    </border>
    <border>
      <left style="thin">
        <color theme="0" tint="-0.14993743705557422"/>
      </left>
      <right/>
      <top style="thin">
        <color theme="0" tint="-0.34998626667073579"/>
      </top>
      <bottom style="thin">
        <color theme="0" tint="-0.14993743705557422"/>
      </bottom>
      <diagonal/>
    </border>
    <border>
      <left/>
      <right style="thin">
        <color theme="0" tint="-0.14993743705557422"/>
      </right>
      <top/>
      <bottom style="thin">
        <color theme="0" tint="-0.34998626667073579"/>
      </bottom>
      <diagonal/>
    </border>
    <border>
      <left style="thin">
        <color theme="0" tint="-0.14993743705557422"/>
      </left>
      <right/>
      <top style="thin">
        <color theme="0" tint="-0.14993743705557422"/>
      </top>
      <bottom style="thin">
        <color theme="0" tint="-0.34998626667073579"/>
      </bottom>
      <diagonal/>
    </border>
    <border>
      <left style="thin">
        <color theme="0" tint="-0.14996795556505021"/>
      </left>
      <right style="thin">
        <color theme="0" tint="-0.14996795556505021"/>
      </right>
      <top/>
      <bottom/>
      <diagonal/>
    </border>
    <border>
      <left/>
      <right style="thin">
        <color theme="0" tint="-0.14996795556505021"/>
      </right>
      <top/>
      <bottom/>
      <diagonal/>
    </border>
    <border>
      <left style="thin">
        <color theme="0" tint="-0.1498458815271462"/>
      </left>
      <right style="thin">
        <color theme="0" tint="-0.1498458815271462"/>
      </right>
      <top style="thin">
        <color theme="0" tint="-0.1498458815271462"/>
      </top>
      <bottom style="thin">
        <color theme="0" tint="-0.1498458815271462"/>
      </bottom>
      <diagonal/>
    </border>
    <border>
      <left style="thin">
        <color theme="0" tint="-0.14996795556505021"/>
      </left>
      <right/>
      <top style="thin">
        <color theme="0" tint="-0.34998626667073579"/>
      </top>
      <bottom style="thin">
        <color theme="0" tint="-0.34998626667073579"/>
      </bottom>
      <diagonal/>
    </border>
    <border>
      <left style="thin">
        <color theme="0" tint="-0.14996795556505021"/>
      </left>
      <right/>
      <top style="thin">
        <color theme="0" tint="-0.34998626667073579"/>
      </top>
      <bottom/>
      <diagonal/>
    </border>
    <border>
      <left/>
      <right style="thin">
        <color theme="0" tint="-0.14996795556505021"/>
      </right>
      <top style="thin">
        <color theme="0" tint="-0.34998626667073579"/>
      </top>
      <bottom/>
      <diagonal/>
    </border>
    <border>
      <left style="thin">
        <color theme="0" tint="-0.14996795556505021"/>
      </left>
      <right/>
      <top/>
      <bottom style="thin">
        <color theme="0" tint="-0.34998626667073579"/>
      </bottom>
      <diagonal/>
    </border>
    <border>
      <left/>
      <right style="thin">
        <color theme="0" tint="-0.14996795556505021"/>
      </right>
      <top/>
      <bottom style="thin">
        <color theme="0" tint="-0.34998626667073579"/>
      </bottom>
      <diagonal/>
    </border>
    <border>
      <left style="thin">
        <color theme="0" tint="-0.14996795556505021"/>
      </left>
      <right/>
      <top style="thin">
        <color theme="0" tint="-0.14996795556505021"/>
      </top>
      <bottom style="thin">
        <color theme="0" tint="-0.34998626667073579"/>
      </bottom>
      <diagonal/>
    </border>
    <border>
      <left/>
      <right style="thin">
        <color theme="0" tint="-0.14996795556505021"/>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14996795556505021"/>
      </left>
      <right style="thin">
        <color theme="0" tint="-0.14996795556505021"/>
      </right>
      <top/>
      <bottom style="thin">
        <color theme="0" tint="-0.34998626667073579"/>
      </bottom>
      <diagonal/>
    </border>
    <border>
      <left/>
      <right style="thin">
        <color theme="0" tint="-0.14996795556505021"/>
      </right>
      <top style="thin">
        <color theme="0" tint="-0.14996795556505021"/>
      </top>
      <bottom style="thin">
        <color theme="0" tint="-0.34998626667073579"/>
      </bottom>
      <diagonal/>
    </border>
    <border>
      <left style="thin">
        <color theme="0" tint="-0.14993743705557422"/>
      </left>
      <right/>
      <top/>
      <bottom style="thin">
        <color theme="0" tint="-0.34998626667073579"/>
      </bottom>
      <diagonal/>
    </border>
    <border>
      <left style="thin">
        <color theme="0" tint="-0.14996795556505021"/>
      </left>
      <right style="thin">
        <color theme="0" tint="-0.14996795556505021"/>
      </right>
      <top style="thin">
        <color theme="0" tint="-0.34998626667073579"/>
      </top>
      <bottom/>
      <diagonal/>
    </border>
    <border>
      <left/>
      <right style="thin">
        <color theme="0" tint="-0.14996795556505021"/>
      </right>
      <top style="thin">
        <color theme="0" tint="-0.14993743705557422"/>
      </top>
      <bottom/>
      <diagonal/>
    </border>
    <border>
      <left style="thin">
        <color theme="0" tint="-0.14996795556505021"/>
      </left>
      <right style="thin">
        <color theme="0" tint="-0.14996795556505021"/>
      </right>
      <top style="thin">
        <color theme="0" tint="-0.14993743705557422"/>
      </top>
      <bottom/>
      <diagonal/>
    </border>
    <border>
      <left style="thin">
        <color theme="0" tint="-0.14990691854609822"/>
      </left>
      <right style="thin">
        <color theme="0" tint="-0.14990691854609822"/>
      </right>
      <top style="thin">
        <color theme="0" tint="-0.14990691854609822"/>
      </top>
      <bottom style="thin">
        <color theme="0" tint="-0.34998626667073579"/>
      </bottom>
      <diagonal/>
    </border>
    <border>
      <left style="thin">
        <color theme="0" tint="-0.14990691854609822"/>
      </left>
      <right/>
      <top style="thin">
        <color theme="0" tint="-0.14990691854609822"/>
      </top>
      <bottom style="thin">
        <color theme="0" tint="-0.34998626667073579"/>
      </bottom>
      <diagonal/>
    </border>
    <border>
      <left style="thin">
        <color theme="0" tint="-0.1498764000366222"/>
      </left>
      <right/>
      <top style="thin">
        <color theme="0" tint="-0.1498764000366222"/>
      </top>
      <bottom style="thin">
        <color theme="0" tint="-0.34998626667073579"/>
      </bottom>
      <diagonal/>
    </border>
    <border>
      <left/>
      <right/>
      <top style="thin">
        <color theme="0" tint="-0.1498764000366222"/>
      </top>
      <bottom style="thin">
        <color theme="0" tint="-0.34998626667073579"/>
      </bottom>
      <diagonal/>
    </border>
    <border>
      <left/>
      <right style="thin">
        <color theme="0" tint="-0.1498764000366222"/>
      </right>
      <top style="thin">
        <color theme="0" tint="-0.1498764000366222"/>
      </top>
      <bottom style="thin">
        <color theme="0" tint="-0.34998626667073579"/>
      </bottom>
      <diagonal/>
    </border>
    <border>
      <left style="thin">
        <color theme="0" tint="-0.14993743705557422"/>
      </left>
      <right style="thin">
        <color theme="0" tint="-0.14996795556505021"/>
      </right>
      <top/>
      <bottom style="thin">
        <color theme="0" tint="-0.34998626667073579"/>
      </bottom>
      <diagonal/>
    </border>
    <border>
      <left style="thin">
        <color theme="0" tint="-0.14993743705557422"/>
      </left>
      <right style="thin">
        <color theme="0" tint="-0.14993743705557422"/>
      </right>
      <top style="thin">
        <color theme="0" tint="-0.34998626667073579"/>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34998626667073579"/>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diagonal/>
    </border>
    <border>
      <left style="thin">
        <color theme="0" tint="-0.14993743705557422"/>
      </left>
      <right/>
      <top style="thin">
        <color theme="0" tint="-0.1499679555650502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499984740745262"/>
      </bottom>
      <diagonal/>
    </border>
    <border>
      <left style="thin">
        <color theme="0" tint="-0.14996795556505021"/>
      </left>
      <right/>
      <top style="thin">
        <color theme="0" tint="-0.14996795556505021"/>
      </top>
      <bottom style="thin">
        <color theme="0" tint="-0.499984740745262"/>
      </bottom>
      <diagonal/>
    </border>
    <border>
      <left/>
      <right style="thin">
        <color theme="0" tint="-0.14996795556505021"/>
      </right>
      <top style="thin">
        <color theme="0" tint="-0.14996795556505021"/>
      </top>
      <bottom style="thin">
        <color theme="0" tint="-0.499984740745262"/>
      </bottom>
      <diagonal/>
    </border>
    <border>
      <left/>
      <right style="thin">
        <color theme="0" tint="-0.14996795556505021"/>
      </right>
      <top style="thin">
        <color theme="0" tint="-0.499984740745262"/>
      </top>
      <bottom/>
      <diagonal/>
    </border>
    <border>
      <left style="thin">
        <color theme="0" tint="-0.14996795556505021"/>
      </left>
      <right/>
      <top style="thin">
        <color theme="0" tint="-0.499984740745262"/>
      </top>
      <bottom style="thin">
        <color theme="0" tint="-0.14996795556505021"/>
      </bottom>
      <diagonal/>
    </border>
    <border>
      <left/>
      <right style="thin">
        <color theme="0" tint="-0.14996795556505021"/>
      </right>
      <top/>
      <bottom style="thin">
        <color theme="0" tint="-0.499984740745262"/>
      </bottom>
      <diagonal/>
    </border>
    <border>
      <left/>
      <right style="thin">
        <color theme="0" tint="-0.14996795556505021"/>
      </right>
      <top style="thin">
        <color theme="0" tint="-0.499984740745262"/>
      </top>
      <bottom style="thin">
        <color theme="0" tint="-0.14996795556505021"/>
      </bottom>
      <diagonal/>
    </border>
    <border>
      <left style="thin">
        <color theme="0" tint="-0.14996795556505021"/>
      </left>
      <right/>
      <top style="thin">
        <color theme="0" tint="-0.499984740745262"/>
      </top>
      <bottom/>
      <diagonal/>
    </border>
    <border>
      <left/>
      <right/>
      <top style="thin">
        <color theme="0" tint="-0.499984740745262"/>
      </top>
      <bottom/>
      <diagonal/>
    </border>
    <border>
      <left style="thin">
        <color theme="0" tint="-0.1498458815271462"/>
      </left>
      <right style="thin">
        <color theme="0" tint="-0.1498458815271462"/>
      </right>
      <top style="thin">
        <color theme="0" tint="-0.1498458815271462"/>
      </top>
      <bottom/>
      <diagonal/>
    </border>
    <border>
      <left/>
      <right style="thin">
        <color theme="0" tint="-0.1498764000366222"/>
      </right>
      <top style="thin">
        <color theme="0" tint="-0.1498764000366222"/>
      </top>
      <bottom/>
      <diagonal/>
    </border>
    <border>
      <left style="thin">
        <color theme="0" tint="-0.1498458815271462"/>
      </left>
      <right style="thin">
        <color theme="0" tint="-0.14981536301767021"/>
      </right>
      <top style="thin">
        <color theme="0" tint="-0.1498458815271462"/>
      </top>
      <bottom style="thin">
        <color theme="0" tint="-0.1498458815271462"/>
      </bottom>
      <diagonal/>
    </border>
    <border>
      <left style="thin">
        <color theme="0" tint="-0.14981536301767021"/>
      </left>
      <right style="thin">
        <color theme="0" tint="-0.14981536301767021"/>
      </right>
      <top style="thin">
        <color theme="0" tint="-0.1498458815271462"/>
      </top>
      <bottom style="thin">
        <color theme="0" tint="-0.1498458815271462"/>
      </bottom>
      <diagonal/>
    </border>
    <border>
      <left style="thin">
        <color theme="0" tint="-0.14981536301767021"/>
      </left>
      <right style="thin">
        <color theme="0" tint="-0.1498764000366222"/>
      </right>
      <top style="thin">
        <color theme="0" tint="-0.1498764000366222"/>
      </top>
      <bottom style="thin">
        <color theme="0" tint="-0.1498764000366222"/>
      </bottom>
      <diagonal/>
    </border>
    <border>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5">
    <xf numFmtId="0" fontId="0" fillId="0" borderId="0">
      <alignment vertical="center"/>
    </xf>
    <xf numFmtId="0" fontId="10" fillId="0" borderId="0" applyNumberFormat="0" applyFill="0" applyBorder="0" applyAlignment="0" applyProtection="0">
      <alignment vertical="center"/>
    </xf>
    <xf numFmtId="0" fontId="14" fillId="0" borderId="0"/>
    <xf numFmtId="0" fontId="14" fillId="0" borderId="0"/>
    <xf numFmtId="9" fontId="22" fillId="0" borderId="0" applyFont="0" applyFill="0" applyBorder="0" applyAlignment="0" applyProtection="0">
      <alignment vertical="center"/>
    </xf>
  </cellStyleXfs>
  <cellXfs count="724">
    <xf numFmtId="0" fontId="0" fillId="0" borderId="0" xfId="0">
      <alignment vertical="center"/>
    </xf>
    <xf numFmtId="0" fontId="2" fillId="0" borderId="0" xfId="0" applyFont="1">
      <alignment vertical="center"/>
    </xf>
    <xf numFmtId="0" fontId="3" fillId="0" borderId="0" xfId="0" applyFont="1">
      <alignment vertical="center"/>
    </xf>
    <xf numFmtId="176" fontId="0" fillId="0" borderId="0" xfId="0" applyNumberFormat="1" applyBorder="1" applyAlignment="1">
      <alignment horizontal="center" vertical="center"/>
    </xf>
    <xf numFmtId="177" fontId="4" fillId="3" borderId="20" xfId="0" applyNumberFormat="1" applyFont="1" applyFill="1" applyBorder="1" applyAlignment="1">
      <alignment horizontal="center" vertical="center"/>
    </xf>
    <xf numFmtId="177" fontId="4" fillId="3" borderId="21" xfId="0" applyNumberFormat="1" applyFont="1" applyFill="1" applyBorder="1" applyAlignment="1">
      <alignment horizontal="center" vertical="center"/>
    </xf>
    <xf numFmtId="177" fontId="4" fillId="3" borderId="22" xfId="0" applyNumberFormat="1" applyFont="1" applyFill="1" applyBorder="1" applyAlignment="1">
      <alignment horizontal="center" vertical="center"/>
    </xf>
    <xf numFmtId="177" fontId="4" fillId="3" borderId="23" xfId="0" applyNumberFormat="1" applyFont="1" applyFill="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center" vertical="center"/>
    </xf>
    <xf numFmtId="0" fontId="0" fillId="0" borderId="15" xfId="0" applyBorder="1" applyAlignment="1">
      <alignment horizontal="center" vertical="center"/>
    </xf>
    <xf numFmtId="0" fontId="0" fillId="0" borderId="32" xfId="0" applyBorder="1" applyAlignment="1">
      <alignment horizontal="center" vertical="center"/>
    </xf>
    <xf numFmtId="0" fontId="0" fillId="5" borderId="25" xfId="0" applyFill="1" applyBorder="1" applyAlignment="1">
      <alignment horizontal="center" vertical="center"/>
    </xf>
    <xf numFmtId="0" fontId="0" fillId="5" borderId="30" xfId="0" applyFill="1" applyBorder="1" applyAlignment="1">
      <alignment horizontal="center" vertical="center"/>
    </xf>
    <xf numFmtId="176" fontId="8" fillId="0" borderId="29" xfId="0" applyNumberFormat="1" applyFont="1" applyFill="1" applyBorder="1" applyAlignment="1">
      <alignment horizontal="center" vertical="center"/>
    </xf>
    <xf numFmtId="0" fontId="0" fillId="0" borderId="25" xfId="0" applyBorder="1" applyAlignment="1">
      <alignment horizontal="center" vertical="center" wrapText="1"/>
    </xf>
    <xf numFmtId="0" fontId="0" fillId="0" borderId="0" xfId="0" applyAlignment="1">
      <alignment vertical="center"/>
    </xf>
    <xf numFmtId="0" fontId="9" fillId="0" borderId="0" xfId="0" applyFont="1">
      <alignment vertical="center"/>
    </xf>
    <xf numFmtId="0" fontId="0" fillId="0" borderId="0" xfId="0" applyFill="1">
      <alignment vertical="center"/>
    </xf>
    <xf numFmtId="0" fontId="10" fillId="8" borderId="37" xfId="1" applyFill="1" applyBorder="1" applyAlignment="1">
      <alignment horizontal="center" vertical="center"/>
    </xf>
    <xf numFmtId="0" fontId="0" fillId="8" borderId="33" xfId="0" applyFill="1" applyBorder="1" applyAlignment="1">
      <alignment horizontal="center" vertical="center"/>
    </xf>
    <xf numFmtId="0" fontId="0" fillId="8" borderId="34" xfId="0" applyFill="1" applyBorder="1" applyAlignment="1">
      <alignment horizontal="center" vertical="center"/>
    </xf>
    <xf numFmtId="0" fontId="0" fillId="0" borderId="1" xfId="0" applyBorder="1" applyAlignment="1">
      <alignment horizontal="center" vertical="center"/>
    </xf>
    <xf numFmtId="0" fontId="4" fillId="7" borderId="1" xfId="0" applyFont="1" applyFill="1" applyBorder="1" applyAlignment="1">
      <alignment horizontal="center" vertical="center"/>
    </xf>
    <xf numFmtId="176" fontId="0" fillId="0" borderId="1" xfId="0" applyNumberFormat="1" applyBorder="1" applyAlignment="1">
      <alignment horizontal="center" vertical="center"/>
    </xf>
    <xf numFmtId="0" fontId="0" fillId="8" borderId="1" xfId="0" applyFill="1" applyBorder="1">
      <alignment vertical="center"/>
    </xf>
    <xf numFmtId="0" fontId="0" fillId="0" borderId="1" xfId="0" applyBorder="1">
      <alignment vertical="center"/>
    </xf>
    <xf numFmtId="177" fontId="15" fillId="7" borderId="1"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wrapText="1"/>
    </xf>
    <xf numFmtId="0" fontId="0" fillId="9" borderId="1" xfId="0" applyFill="1" applyBorder="1" applyAlignment="1">
      <alignment horizontal="center" vertical="center"/>
    </xf>
    <xf numFmtId="0" fontId="0" fillId="8" borderId="26" xfId="0" applyFill="1" applyBorder="1" applyAlignment="1">
      <alignment horizontal="center" vertical="center"/>
    </xf>
    <xf numFmtId="0" fontId="0" fillId="10" borderId="1" xfId="0" applyFill="1" applyBorder="1" applyAlignment="1">
      <alignment horizontal="center" vertical="center"/>
    </xf>
    <xf numFmtId="0" fontId="16" fillId="0" borderId="0" xfId="0" applyFont="1">
      <alignment vertical="center"/>
    </xf>
    <xf numFmtId="0" fontId="17" fillId="0" borderId="0" xfId="0" applyFont="1">
      <alignment vertical="center"/>
    </xf>
    <xf numFmtId="0" fontId="0" fillId="0" borderId="25" xfId="0" applyBorder="1" applyAlignment="1">
      <alignment horizontal="center" vertical="center"/>
    </xf>
    <xf numFmtId="176" fontId="8" fillId="0" borderId="28" xfId="0" applyNumberFormat="1" applyFont="1" applyFill="1" applyBorder="1" applyAlignment="1">
      <alignment horizontal="center" vertical="center"/>
    </xf>
    <xf numFmtId="0" fontId="0" fillId="0" borderId="0" xfId="0" applyFill="1" applyBorder="1" applyAlignment="1">
      <alignment horizontal="left" vertical="center"/>
    </xf>
    <xf numFmtId="0" fontId="0" fillId="0" borderId="25" xfId="0" applyBorder="1" applyAlignment="1">
      <alignment horizontal="center" vertical="center"/>
    </xf>
    <xf numFmtId="0" fontId="4" fillId="7" borderId="1" xfId="0" applyFont="1" applyFill="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4" fillId="7" borderId="25" xfId="0" applyFont="1" applyFill="1"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18" fillId="8" borderId="54" xfId="1" applyFont="1" applyFill="1" applyBorder="1" applyAlignment="1">
      <alignment horizontal="center" vertical="center"/>
    </xf>
    <xf numFmtId="0" fontId="0" fillId="0" borderId="38" xfId="0" applyBorder="1" applyAlignment="1">
      <alignment horizontal="center" vertical="center"/>
    </xf>
    <xf numFmtId="0" fontId="24" fillId="0" borderId="0" xfId="0" applyFont="1">
      <alignment vertical="center"/>
    </xf>
    <xf numFmtId="0" fontId="17" fillId="0" borderId="1" xfId="0" applyFont="1" applyBorder="1" applyAlignment="1">
      <alignment horizontal="center" vertical="center"/>
    </xf>
    <xf numFmtId="0" fontId="24" fillId="0" borderId="1" xfId="0" applyFont="1" applyBorder="1" applyAlignment="1">
      <alignment horizontal="center" vertical="center"/>
    </xf>
    <xf numFmtId="178" fontId="17" fillId="0" borderId="1" xfId="4" applyNumberFormat="1" applyFont="1" applyBorder="1" applyAlignment="1">
      <alignment horizontal="center" vertical="center"/>
    </xf>
    <xf numFmtId="0" fontId="9" fillId="0" borderId="0" xfId="0" applyFont="1" applyFill="1" applyBorder="1" applyAlignment="1">
      <alignment horizontal="left" vertical="center"/>
    </xf>
    <xf numFmtId="0" fontId="4" fillId="7" borderId="30" xfId="0" applyFont="1" applyFill="1" applyBorder="1" applyAlignment="1">
      <alignment horizontal="center" vertical="center"/>
    </xf>
    <xf numFmtId="0" fontId="0" fillId="0" borderId="68" xfId="0" applyBorder="1" applyAlignment="1">
      <alignment horizontal="center" vertical="center"/>
    </xf>
    <xf numFmtId="0" fontId="0" fillId="0" borderId="68" xfId="0" applyBorder="1" applyAlignment="1">
      <alignment horizontal="center" vertical="center" wrapText="1"/>
    </xf>
    <xf numFmtId="0" fontId="0" fillId="0" borderId="63" xfId="0" applyFill="1" applyBorder="1" applyAlignment="1">
      <alignment horizontal="left" vertical="center"/>
    </xf>
    <xf numFmtId="0" fontId="4" fillId="7" borderId="1" xfId="0" applyFont="1" applyFill="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31" xfId="0" applyBorder="1" applyAlignment="1">
      <alignment horizontal="center" vertical="center"/>
    </xf>
    <xf numFmtId="0" fontId="0" fillId="0" borderId="25" xfId="0" applyBorder="1" applyAlignment="1">
      <alignment horizontal="center" vertical="center"/>
    </xf>
    <xf numFmtId="0" fontId="4" fillId="7" borderId="25" xfId="0" applyFont="1" applyFill="1" applyBorder="1" applyAlignment="1">
      <alignment horizontal="center" vertical="center"/>
    </xf>
    <xf numFmtId="0" fontId="0" fillId="0" borderId="33" xfId="0" applyBorder="1" applyAlignment="1">
      <alignment horizontal="center" vertical="center"/>
    </xf>
    <xf numFmtId="0" fontId="0" fillId="0" borderId="69" xfId="0"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3" xfId="0"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xf>
    <xf numFmtId="0" fontId="0" fillId="9" borderId="1" xfId="0" applyFill="1" applyBorder="1">
      <alignment vertical="center"/>
    </xf>
    <xf numFmtId="0" fontId="0" fillId="8" borderId="1" xfId="0" applyFill="1" applyBorder="1" applyAlignment="1">
      <alignment vertical="center" wrapText="1"/>
    </xf>
    <xf numFmtId="0" fontId="0" fillId="0" borderId="25" xfId="0" applyBorder="1" applyAlignment="1">
      <alignment horizontal="center" vertical="center"/>
    </xf>
    <xf numFmtId="177" fontId="0" fillId="0" borderId="1" xfId="0" applyNumberFormat="1" applyBorder="1" applyAlignment="1">
      <alignment horizontal="center" vertical="center"/>
    </xf>
    <xf numFmtId="0" fontId="0" fillId="0" borderId="76" xfId="0" applyFill="1" applyBorder="1" applyAlignment="1">
      <alignment horizontal="center" vertical="center"/>
    </xf>
    <xf numFmtId="0" fontId="28" fillId="8" borderId="1" xfId="0" applyFont="1" applyFill="1" applyBorder="1" applyAlignment="1">
      <alignment horizontal="center" vertical="center"/>
    </xf>
    <xf numFmtId="178" fontId="28" fillId="8" borderId="1" xfId="4" applyNumberFormat="1" applyFont="1" applyFill="1" applyBorder="1" applyAlignment="1">
      <alignment horizontal="center" vertical="center"/>
    </xf>
    <xf numFmtId="0" fontId="0" fillId="0" borderId="25" xfId="0" applyBorder="1" applyAlignment="1">
      <alignment horizontal="center" vertical="center"/>
    </xf>
    <xf numFmtId="0" fontId="0" fillId="0" borderId="33" xfId="0" applyFill="1" applyBorder="1" applyAlignment="1">
      <alignment horizontal="center" vertical="center"/>
    </xf>
    <xf numFmtId="0" fontId="30" fillId="0" borderId="1" xfId="0" applyFont="1" applyBorder="1" applyAlignment="1">
      <alignment horizontal="center" vertical="center"/>
    </xf>
    <xf numFmtId="0" fontId="6" fillId="0" borderId="29" xfId="0" applyFont="1" applyFill="1" applyBorder="1" applyAlignment="1">
      <alignment horizontal="left" vertical="center"/>
    </xf>
    <xf numFmtId="0" fontId="7" fillId="0" borderId="29" xfId="0" applyFont="1" applyFill="1" applyBorder="1" applyAlignment="1">
      <alignment horizontal="center" vertical="center"/>
    </xf>
    <xf numFmtId="0" fontId="6" fillId="0" borderId="29" xfId="0" applyFont="1" applyFill="1" applyBorder="1" applyAlignment="1">
      <alignment vertical="center"/>
    </xf>
    <xf numFmtId="0" fontId="0" fillId="0" borderId="29" xfId="0" applyFill="1" applyBorder="1" applyAlignment="1">
      <alignment horizontal="left" vertical="center"/>
    </xf>
    <xf numFmtId="0" fontId="8" fillId="0" borderId="29" xfId="0" applyFont="1" applyFill="1" applyBorder="1" applyAlignment="1">
      <alignment horizontal="center" vertical="center"/>
    </xf>
    <xf numFmtId="0" fontId="0" fillId="0" borderId="29" xfId="0" applyFill="1" applyBorder="1" applyAlignment="1">
      <alignment horizontal="center" vertical="center"/>
    </xf>
    <xf numFmtId="0" fontId="0" fillId="0" borderId="47" xfId="0" applyFill="1" applyBorder="1" applyAlignment="1">
      <alignment horizontal="center" vertical="center"/>
    </xf>
    <xf numFmtId="0" fontId="0" fillId="0" borderId="48" xfId="0" applyFill="1" applyBorder="1" applyAlignment="1">
      <alignment horizontal="left" vertical="center"/>
    </xf>
    <xf numFmtId="0" fontId="0" fillId="0" borderId="19" xfId="0" applyFill="1" applyBorder="1" applyAlignment="1">
      <alignment horizontal="left" vertical="center"/>
    </xf>
    <xf numFmtId="0" fontId="0" fillId="0" borderId="47" xfId="0" applyFill="1" applyBorder="1" applyAlignment="1">
      <alignment horizontal="left" vertical="center"/>
    </xf>
    <xf numFmtId="0" fontId="0" fillId="0" borderId="50" xfId="0" applyFill="1" applyBorder="1" applyAlignment="1">
      <alignment horizontal="center" vertical="center"/>
    </xf>
    <xf numFmtId="0" fontId="0" fillId="0" borderId="51" xfId="0" applyFill="1" applyBorder="1" applyAlignment="1">
      <alignment horizontal="center" vertical="center"/>
    </xf>
    <xf numFmtId="0" fontId="0" fillId="0" borderId="48" xfId="0" applyFill="1" applyBorder="1" applyAlignment="1">
      <alignment horizontal="center" vertical="center"/>
    </xf>
    <xf numFmtId="0" fontId="0" fillId="0" borderId="52" xfId="0" applyFill="1" applyBorder="1" applyAlignment="1">
      <alignment horizontal="center" vertical="center"/>
    </xf>
    <xf numFmtId="0" fontId="0" fillId="0" borderId="53" xfId="0" applyFill="1" applyBorder="1" applyAlignment="1">
      <alignment horizontal="center" vertical="center"/>
    </xf>
    <xf numFmtId="0" fontId="0" fillId="0" borderId="49" xfId="0" applyFill="1" applyBorder="1" applyAlignment="1">
      <alignment horizontal="left" vertical="center"/>
    </xf>
    <xf numFmtId="0" fontId="0" fillId="0" borderId="50" xfId="0" applyFill="1" applyBorder="1" applyAlignment="1">
      <alignment horizontal="left" vertical="center"/>
    </xf>
    <xf numFmtId="0" fontId="11" fillId="4" borderId="1" xfId="0" applyFont="1"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8" borderId="25" xfId="0" applyFill="1" applyBorder="1" applyAlignment="1">
      <alignment horizontal="center" vertical="center"/>
    </xf>
    <xf numFmtId="0" fontId="0" fillId="8" borderId="34" xfId="0" applyFill="1" applyBorder="1" applyAlignment="1">
      <alignment vertical="center"/>
    </xf>
    <xf numFmtId="0" fontId="0" fillId="8" borderId="35" xfId="0" applyFill="1" applyBorder="1" applyAlignment="1">
      <alignment vertical="center"/>
    </xf>
    <xf numFmtId="0" fontId="0" fillId="0" borderId="25"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9" fillId="0" borderId="3" xfId="0" applyFont="1" applyBorder="1" applyAlignment="1">
      <alignment horizontal="center" vertical="center"/>
    </xf>
    <xf numFmtId="0" fontId="20" fillId="0" borderId="1" xfId="0" applyFont="1" applyBorder="1" applyAlignment="1">
      <alignment horizontal="center" vertical="center"/>
    </xf>
    <xf numFmtId="0" fontId="0" fillId="8" borderId="25" xfId="0" applyFill="1" applyBorder="1" applyAlignment="1">
      <alignment horizontal="center" vertical="center"/>
    </xf>
    <xf numFmtId="0" fontId="0" fillId="0" borderId="24" xfId="0" applyFill="1" applyBorder="1" applyAlignment="1">
      <alignment horizontal="center" vertical="center"/>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18" fillId="0" borderId="31" xfId="0" applyFont="1" applyFill="1" applyBorder="1" applyAlignment="1">
      <alignment horizontal="center" vertical="center"/>
    </xf>
    <xf numFmtId="0" fontId="10" fillId="0" borderId="24" xfId="1" applyFill="1" applyBorder="1" applyAlignment="1">
      <alignment horizontal="center" vertical="center"/>
    </xf>
    <xf numFmtId="0" fontId="18" fillId="0" borderId="31" xfId="1" applyFont="1" applyFill="1" applyBorder="1" applyAlignment="1">
      <alignment horizontal="center" vertical="center"/>
    </xf>
    <xf numFmtId="0" fontId="0" fillId="0" borderId="38" xfId="0" applyFill="1" applyBorder="1" applyAlignment="1">
      <alignment horizontal="center" vertical="center"/>
    </xf>
    <xf numFmtId="0" fontId="0" fillId="0" borderId="39" xfId="0" applyFill="1" applyBorder="1" applyAlignment="1">
      <alignment horizontal="center" vertical="center"/>
    </xf>
    <xf numFmtId="0" fontId="10" fillId="0" borderId="41" xfId="1" applyFill="1" applyBorder="1" applyAlignment="1">
      <alignment horizontal="center" vertical="center"/>
    </xf>
    <xf numFmtId="0" fontId="18" fillId="0" borderId="36" xfId="1" applyFont="1" applyFill="1" applyBorder="1" applyAlignment="1">
      <alignment horizontal="center" vertical="center"/>
    </xf>
    <xf numFmtId="0" fontId="0" fillId="0" borderId="34" xfId="0" applyFill="1" applyBorder="1" applyAlignment="1">
      <alignment horizontal="center" vertical="center"/>
    </xf>
    <xf numFmtId="0" fontId="0" fillId="0" borderId="34" xfId="0" applyFill="1" applyBorder="1" applyAlignment="1">
      <alignment vertical="center"/>
    </xf>
    <xf numFmtId="0" fontId="0" fillId="0" borderId="35" xfId="0" applyFill="1" applyBorder="1" applyAlignment="1">
      <alignment vertical="center"/>
    </xf>
    <xf numFmtId="0" fontId="18" fillId="0" borderId="54" xfId="1" applyFont="1" applyFill="1" applyBorder="1" applyAlignment="1">
      <alignment horizontal="center" vertical="center"/>
    </xf>
    <xf numFmtId="0" fontId="10" fillId="0" borderId="59" xfId="1" applyFill="1" applyBorder="1" applyAlignment="1">
      <alignment horizontal="center" vertical="center"/>
    </xf>
    <xf numFmtId="0" fontId="18" fillId="0" borderId="78" xfId="1" applyFont="1" applyFill="1" applyBorder="1" applyAlignment="1">
      <alignment horizontal="center" vertical="center"/>
    </xf>
    <xf numFmtId="0" fontId="0" fillId="0" borderId="78" xfId="0" applyFill="1" applyBorder="1" applyAlignment="1">
      <alignment horizontal="center" vertical="center"/>
    </xf>
    <xf numFmtId="0" fontId="0" fillId="0" borderId="35" xfId="0" applyFill="1" applyBorder="1" applyAlignment="1">
      <alignment horizontal="center" vertical="center"/>
    </xf>
    <xf numFmtId="0" fontId="0" fillId="8" borderId="24" xfId="0" applyFill="1" applyBorder="1" applyAlignment="1">
      <alignment horizontal="center" vertical="center"/>
    </xf>
    <xf numFmtId="0" fontId="18" fillId="8" borderId="31" xfId="0" applyFont="1" applyFill="1"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10" fillId="0" borderId="90" xfId="1" applyFill="1" applyBorder="1" applyAlignment="1">
      <alignment horizontal="center" vertical="center"/>
    </xf>
    <xf numFmtId="0" fontId="0" fillId="0" borderId="40" xfId="0" applyFill="1" applyBorder="1" applyAlignment="1">
      <alignment horizontal="center" vertical="center"/>
    </xf>
    <xf numFmtId="0" fontId="18" fillId="0" borderId="64" xfId="0" applyFont="1" applyFill="1" applyBorder="1" applyAlignment="1">
      <alignment horizontal="center" vertical="center"/>
    </xf>
    <xf numFmtId="0" fontId="18" fillId="0" borderId="84" xfId="1" applyFont="1" applyFill="1" applyBorder="1" applyAlignment="1">
      <alignment horizontal="center" vertical="center"/>
    </xf>
    <xf numFmtId="0" fontId="18" fillId="0" borderId="55" xfId="1" applyFont="1" applyFill="1" applyBorder="1" applyAlignment="1">
      <alignment horizontal="center" vertical="center"/>
    </xf>
    <xf numFmtId="0" fontId="18" fillId="0" borderId="1" xfId="1" applyFont="1" applyFill="1" applyBorder="1" applyAlignment="1">
      <alignment horizontal="center" vertical="center"/>
    </xf>
    <xf numFmtId="0" fontId="0" fillId="8" borderId="26" xfId="0" applyFill="1" applyBorder="1" applyAlignment="1">
      <alignment horizontal="center" vertical="center" wrapText="1"/>
    </xf>
    <xf numFmtId="0" fontId="0" fillId="5" borderId="30" xfId="0" applyFill="1" applyBorder="1" applyAlignment="1">
      <alignment horizontal="center" vertical="center" wrapText="1"/>
    </xf>
    <xf numFmtId="0" fontId="10" fillId="8" borderId="78" xfId="1" applyFill="1" applyBorder="1" applyAlignment="1">
      <alignment horizontal="center" vertical="center"/>
    </xf>
    <xf numFmtId="0" fontId="18" fillId="8" borderId="78" xfId="1" applyFont="1" applyFill="1" applyBorder="1" applyAlignment="1">
      <alignment horizontal="center" vertical="center"/>
    </xf>
    <xf numFmtId="0" fontId="0" fillId="8" borderId="78" xfId="0" applyFill="1" applyBorder="1" applyAlignment="1">
      <alignment horizontal="center" vertical="center"/>
    </xf>
    <xf numFmtId="0" fontId="0" fillId="8" borderId="35" xfId="0" applyFill="1" applyBorder="1" applyAlignment="1">
      <alignment horizontal="center" vertical="center"/>
    </xf>
    <xf numFmtId="179" fontId="17" fillId="0" borderId="1" xfId="0" applyNumberFormat="1" applyFont="1" applyBorder="1" applyAlignment="1">
      <alignment horizontal="center" vertical="center"/>
    </xf>
    <xf numFmtId="0" fontId="0" fillId="0" borderId="26" xfId="0" applyFill="1" applyBorder="1" applyAlignment="1">
      <alignment vertical="center"/>
    </xf>
    <xf numFmtId="0" fontId="0" fillId="0" borderId="27" xfId="0" applyFill="1" applyBorder="1" applyAlignment="1">
      <alignment vertical="center"/>
    </xf>
    <xf numFmtId="0" fontId="0" fillId="8" borderId="26" xfId="0" applyFill="1" applyBorder="1" applyAlignment="1">
      <alignment vertical="center"/>
    </xf>
    <xf numFmtId="0" fontId="0" fillId="8" borderId="27" xfId="0" applyFill="1" applyBorder="1" applyAlignment="1">
      <alignment vertical="center"/>
    </xf>
    <xf numFmtId="0" fontId="0" fillId="0" borderId="39" xfId="0" applyFill="1" applyBorder="1" applyAlignment="1">
      <alignment vertical="center"/>
    </xf>
    <xf numFmtId="0" fontId="0" fillId="0" borderId="40" xfId="0" applyFill="1" applyBorder="1" applyAlignment="1">
      <alignment vertical="center"/>
    </xf>
    <xf numFmtId="180" fontId="0" fillId="0" borderId="92" xfId="0" applyNumberFormat="1" applyBorder="1" applyAlignment="1">
      <alignment horizontal="center" vertical="center"/>
    </xf>
    <xf numFmtId="180" fontId="32" fillId="0" borderId="92" xfId="0" applyNumberFormat="1" applyFont="1" applyBorder="1" applyAlignment="1">
      <alignment horizontal="center" vertical="center"/>
    </xf>
    <xf numFmtId="180" fontId="33" fillId="0" borderId="92" xfId="0" applyNumberFormat="1" applyFont="1" applyBorder="1" applyAlignment="1">
      <alignment horizontal="center" vertical="center"/>
    </xf>
    <xf numFmtId="180" fontId="33" fillId="0" borderId="92" xfId="0" applyNumberFormat="1" applyFont="1" applyBorder="1" applyAlignment="1">
      <alignment horizontal="center" vertical="center" wrapText="1"/>
    </xf>
    <xf numFmtId="180" fontId="0" fillId="4" borderId="21" xfId="0" applyNumberFormat="1" applyFill="1" applyBorder="1" applyAlignment="1">
      <alignment horizontal="center" vertical="center"/>
    </xf>
    <xf numFmtId="180" fontId="11" fillId="4" borderId="21" xfId="0" applyNumberFormat="1" applyFont="1" applyFill="1" applyBorder="1" applyAlignment="1">
      <alignment horizontal="center" vertical="center"/>
    </xf>
    <xf numFmtId="180" fontId="20" fillId="4" borderId="21" xfId="0" applyNumberFormat="1" applyFont="1" applyFill="1" applyBorder="1" applyAlignment="1">
      <alignment horizontal="center" vertical="center"/>
    </xf>
    <xf numFmtId="180" fontId="4" fillId="2" borderId="93" xfId="0" applyNumberFormat="1" applyFont="1" applyFill="1" applyBorder="1" applyAlignment="1">
      <alignment horizontal="center" vertical="center"/>
    </xf>
    <xf numFmtId="180" fontId="0" fillId="0" borderId="92" xfId="0" applyNumberFormat="1" applyFill="1" applyBorder="1" applyAlignment="1">
      <alignment horizontal="center" vertical="center"/>
    </xf>
    <xf numFmtId="180" fontId="32" fillId="0" borderId="92" xfId="0" applyNumberFormat="1" applyFont="1" applyFill="1" applyBorder="1" applyAlignment="1">
      <alignment horizontal="center" vertical="center"/>
    </xf>
    <xf numFmtId="180" fontId="33" fillId="0" borderId="92" xfId="0" applyNumberFormat="1" applyFont="1" applyFill="1" applyBorder="1" applyAlignment="1">
      <alignment horizontal="center" vertical="center"/>
    </xf>
    <xf numFmtId="180" fontId="4" fillId="2" borderId="94" xfId="0" applyNumberFormat="1" applyFont="1" applyFill="1" applyBorder="1" applyAlignment="1">
      <alignment horizontal="center" vertical="center"/>
    </xf>
    <xf numFmtId="180" fontId="4" fillId="2" borderId="95" xfId="0" applyNumberFormat="1" applyFont="1" applyFill="1" applyBorder="1" applyAlignment="1">
      <alignment horizontal="center" vertical="center"/>
    </xf>
    <xf numFmtId="180" fontId="33" fillId="0" borderId="97" xfId="0" applyNumberFormat="1" applyFont="1" applyBorder="1" applyAlignment="1">
      <alignment horizontal="center" vertical="center"/>
    </xf>
    <xf numFmtId="180" fontId="20" fillId="4" borderId="99" xfId="0" applyNumberFormat="1" applyFont="1" applyFill="1" applyBorder="1" applyAlignment="1">
      <alignment horizontal="center" vertical="center"/>
    </xf>
    <xf numFmtId="180" fontId="33" fillId="0" borderId="97" xfId="0" applyNumberFormat="1" applyFont="1" applyFill="1" applyBorder="1" applyAlignment="1">
      <alignment horizontal="center" vertical="center"/>
    </xf>
    <xf numFmtId="0" fontId="9" fillId="4" borderId="3" xfId="0" applyFont="1" applyFill="1" applyBorder="1" applyAlignment="1">
      <alignment horizontal="center" vertical="center"/>
    </xf>
    <xf numFmtId="0" fontId="12" fillId="4" borderId="2" xfId="0" applyFont="1" applyFill="1" applyBorder="1" applyAlignment="1">
      <alignment horizontal="center" vertical="center" wrapText="1"/>
    </xf>
    <xf numFmtId="0" fontId="31" fillId="0" borderId="2" xfId="0" applyFont="1" applyBorder="1" applyAlignment="1">
      <alignment horizontal="center" vertical="center" wrapText="1"/>
    </xf>
    <xf numFmtId="0" fontId="18" fillId="0" borderId="83" xfId="1" applyFont="1" applyFill="1"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2" xfId="0" applyBorder="1" applyAlignment="1">
      <alignment horizontal="center" vertical="center"/>
    </xf>
    <xf numFmtId="176" fontId="11" fillId="0" borderId="2" xfId="0" applyNumberFormat="1" applyFont="1" applyBorder="1" applyAlignment="1">
      <alignment vertical="center"/>
    </xf>
    <xf numFmtId="176" fontId="20" fillId="0" borderId="4" xfId="0" applyNumberFormat="1" applyFont="1" applyBorder="1" applyAlignment="1">
      <alignment vertical="center"/>
    </xf>
    <xf numFmtId="176" fontId="20" fillId="0" borderId="3" xfId="0" applyNumberFormat="1" applyFont="1" applyBorder="1" applyAlignment="1">
      <alignment vertical="center"/>
    </xf>
    <xf numFmtId="176" fontId="20" fillId="0" borderId="2" xfId="0" applyNumberFormat="1" applyFont="1" applyBorder="1" applyAlignment="1">
      <alignment vertical="center"/>
    </xf>
    <xf numFmtId="0" fontId="9" fillId="0" borderId="3"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180" fontId="29" fillId="4" borderId="96" xfId="0" applyNumberFormat="1" applyFont="1" applyFill="1" applyBorder="1" applyAlignment="1">
      <alignment horizontal="center" vertical="center"/>
    </xf>
    <xf numFmtId="180" fontId="18" fillId="0" borderId="92" xfId="0" applyNumberFormat="1" applyFont="1" applyBorder="1" applyAlignment="1">
      <alignment horizontal="center" vertical="center"/>
    </xf>
    <xf numFmtId="0" fontId="18" fillId="0" borderId="0" xfId="0" applyFont="1">
      <alignment vertical="center"/>
    </xf>
    <xf numFmtId="0" fontId="4" fillId="2" borderId="93" xfId="0" applyNumberFormat="1" applyFont="1" applyFill="1" applyBorder="1" applyAlignment="1">
      <alignment horizontal="center" vertical="center"/>
    </xf>
    <xf numFmtId="0" fontId="4" fillId="2" borderId="93" xfId="0" applyNumberFormat="1" applyFont="1" applyFill="1" applyBorder="1" applyAlignment="1">
      <alignment horizontal="center" vertical="center" wrapText="1"/>
    </xf>
    <xf numFmtId="0" fontId="4" fillId="2" borderId="95" xfId="0" applyNumberFormat="1" applyFont="1" applyFill="1" applyBorder="1" applyAlignment="1">
      <alignment horizontal="center" vertical="center" wrapText="1"/>
    </xf>
    <xf numFmtId="0" fontId="4" fillId="2" borderId="95" xfId="0" applyNumberFormat="1" applyFont="1" applyFill="1" applyBorder="1" applyAlignment="1">
      <alignment horizontal="center" vertical="center"/>
    </xf>
    <xf numFmtId="0" fontId="0" fillId="0" borderId="0" xfId="0" applyNumberFormat="1">
      <alignment vertical="center"/>
    </xf>
    <xf numFmtId="0" fontId="19" fillId="0" borderId="92" xfId="0" applyNumberFormat="1" applyFont="1" applyBorder="1" applyAlignment="1">
      <alignment horizontal="center" vertical="center"/>
    </xf>
    <xf numFmtId="0" fontId="19" fillId="0" borderId="92" xfId="0" applyNumberFormat="1" applyFont="1" applyBorder="1" applyAlignment="1">
      <alignment horizontal="center" vertical="center" wrapText="1"/>
    </xf>
    <xf numFmtId="0" fontId="19" fillId="0" borderId="97" xfId="0" applyNumberFormat="1" applyFont="1" applyBorder="1" applyAlignment="1">
      <alignment horizontal="center" vertical="center"/>
    </xf>
    <xf numFmtId="0" fontId="18" fillId="0" borderId="0" xfId="0" applyNumberFormat="1" applyFont="1">
      <alignment vertical="center"/>
    </xf>
    <xf numFmtId="176" fontId="19" fillId="0" borderId="92" xfId="0" applyNumberFormat="1" applyFont="1" applyBorder="1" applyAlignment="1">
      <alignment horizontal="center" vertical="center"/>
    </xf>
    <xf numFmtId="0" fontId="0" fillId="0" borderId="0" xfId="0">
      <alignment vertical="center"/>
    </xf>
    <xf numFmtId="0" fontId="3" fillId="0" borderId="0" xfId="0" applyFont="1">
      <alignment vertical="center"/>
    </xf>
    <xf numFmtId="0" fontId="0" fillId="0" borderId="1" xfId="0" applyBorder="1" applyAlignment="1">
      <alignment horizontal="center" vertical="center"/>
    </xf>
    <xf numFmtId="0" fontId="2" fillId="0" borderId="0" xfId="0" applyFont="1">
      <alignment vertical="center"/>
    </xf>
    <xf numFmtId="0" fontId="0" fillId="0" borderId="25" xfId="0" applyBorder="1" applyAlignment="1">
      <alignment horizontal="center" vertical="center"/>
    </xf>
    <xf numFmtId="0" fontId="9" fillId="8" borderId="1" xfId="0" applyFont="1" applyFill="1" applyBorder="1" applyAlignment="1">
      <alignment horizontal="center" vertical="center"/>
    </xf>
    <xf numFmtId="0" fontId="0" fillId="0" borderId="0" xfId="0" applyBorder="1">
      <alignment vertical="center"/>
    </xf>
    <xf numFmtId="176" fontId="0" fillId="0" borderId="1" xfId="0" applyNumberFormat="1" applyBorder="1" applyAlignment="1">
      <alignment horizontal="center" vertical="center" wrapText="1"/>
    </xf>
    <xf numFmtId="0" fontId="9" fillId="8" borderId="25" xfId="0" applyFont="1" applyFill="1" applyBorder="1" applyAlignment="1">
      <alignment horizontal="center" vertical="center" wrapText="1"/>
    </xf>
    <xf numFmtId="0" fontId="0" fillId="0" borderId="44" xfId="0" applyBorder="1" applyAlignment="1">
      <alignment horizontal="center" vertical="center" wrapText="1"/>
    </xf>
    <xf numFmtId="176" fontId="0" fillId="0" borderId="44" xfId="0" applyNumberFormat="1" applyBorder="1" applyAlignment="1">
      <alignment horizontal="center" vertical="center" wrapText="1"/>
    </xf>
    <xf numFmtId="176" fontId="0" fillId="0" borderId="45" xfId="0" applyNumberFormat="1" applyBorder="1" applyAlignment="1">
      <alignment horizontal="center" vertical="center" wrapText="1"/>
    </xf>
    <xf numFmtId="0" fontId="0" fillId="4" borderId="44" xfId="0" applyFill="1" applyBorder="1" applyAlignment="1">
      <alignment horizontal="center" vertical="center"/>
    </xf>
    <xf numFmtId="176" fontId="0" fillId="4" borderId="44" xfId="0" applyNumberFormat="1" applyFill="1" applyBorder="1" applyAlignment="1">
      <alignment horizontal="center" vertical="center" wrapText="1"/>
    </xf>
    <xf numFmtId="0" fontId="0" fillId="4" borderId="45" xfId="0" applyFill="1" applyBorder="1" applyAlignment="1">
      <alignment horizontal="center" vertical="center"/>
    </xf>
    <xf numFmtId="176" fontId="0" fillId="4" borderId="45" xfId="0" applyNumberFormat="1" applyFill="1" applyBorder="1" applyAlignment="1">
      <alignment horizontal="center" vertical="center" wrapText="1"/>
    </xf>
    <xf numFmtId="0" fontId="9" fillId="4" borderId="109" xfId="0" applyFont="1" applyFill="1" applyBorder="1" applyAlignment="1">
      <alignment horizontal="center" vertical="center"/>
    </xf>
    <xf numFmtId="0" fontId="9" fillId="4" borderId="46" xfId="0" applyFont="1" applyFill="1" applyBorder="1" applyAlignment="1">
      <alignment horizontal="center" vertical="center"/>
    </xf>
    <xf numFmtId="0" fontId="0" fillId="4" borderId="46" xfId="0" applyFill="1" applyBorder="1" applyAlignment="1">
      <alignment horizontal="center" vertical="center"/>
    </xf>
    <xf numFmtId="176" fontId="0" fillId="4" borderId="46" xfId="0" applyNumberFormat="1" applyFill="1" applyBorder="1" applyAlignment="1">
      <alignment horizontal="center" vertical="center"/>
    </xf>
    <xf numFmtId="176" fontId="0" fillId="4" borderId="44" xfId="0" applyNumberFormat="1" applyFill="1" applyBorder="1" applyAlignment="1">
      <alignment horizontal="center" vertical="center"/>
    </xf>
    <xf numFmtId="176" fontId="0" fillId="4" borderId="45" xfId="0" applyNumberFormat="1" applyFill="1" applyBorder="1" applyAlignment="1">
      <alignment horizontal="center" vertical="center"/>
    </xf>
    <xf numFmtId="0" fontId="0" fillId="0" borderId="25" xfId="0" applyBorder="1" applyAlignment="1">
      <alignment horizontal="center" vertical="center"/>
    </xf>
    <xf numFmtId="0" fontId="11" fillId="4" borderId="1" xfId="0" applyFont="1" applyFill="1" applyBorder="1" applyAlignment="1">
      <alignment horizontal="center" vertical="center" wrapText="1"/>
    </xf>
    <xf numFmtId="0" fontId="19" fillId="0" borderId="2" xfId="0" applyFont="1" applyBorder="1" applyAlignment="1">
      <alignment horizontal="center" vertical="center" wrapText="1"/>
    </xf>
    <xf numFmtId="0" fontId="0" fillId="11" borderId="1" xfId="0" applyFill="1" applyBorder="1" applyAlignment="1">
      <alignment horizontal="center" vertical="center"/>
    </xf>
    <xf numFmtId="0" fontId="0" fillId="11" borderId="73" xfId="0" applyFill="1" applyBorder="1" applyAlignment="1">
      <alignment horizontal="center" vertical="center"/>
    </xf>
    <xf numFmtId="0" fontId="0" fillId="11" borderId="74" xfId="0" applyFill="1" applyBorder="1" applyAlignment="1">
      <alignment horizontal="center" vertical="center"/>
    </xf>
    <xf numFmtId="0" fontId="0" fillId="11" borderId="75" xfId="0" applyFill="1" applyBorder="1" applyAlignment="1">
      <alignment horizontal="center" vertical="center"/>
    </xf>
    <xf numFmtId="0" fontId="0" fillId="11" borderId="25" xfId="0" applyFill="1" applyBorder="1" applyAlignment="1">
      <alignment horizontal="center" vertical="center"/>
    </xf>
    <xf numFmtId="0" fontId="0" fillId="11" borderId="14" xfId="0" applyFill="1" applyBorder="1" applyAlignment="1">
      <alignment horizontal="center" vertical="center"/>
    </xf>
    <xf numFmtId="0" fontId="0" fillId="11" borderId="24" xfId="0" applyFill="1" applyBorder="1" applyAlignment="1">
      <alignment horizontal="center" vertical="center"/>
    </xf>
    <xf numFmtId="0" fontId="0" fillId="11" borderId="25" xfId="0" applyFill="1" applyBorder="1" applyAlignment="1">
      <alignment horizontal="center" vertical="center" wrapText="1"/>
    </xf>
    <xf numFmtId="0" fontId="0" fillId="11" borderId="30" xfId="0" applyFill="1" applyBorder="1" applyAlignment="1">
      <alignment horizontal="center" vertical="center"/>
    </xf>
    <xf numFmtId="0" fontId="10" fillId="11" borderId="59" xfId="1" applyFill="1" applyBorder="1" applyAlignment="1">
      <alignment horizontal="center" vertical="center"/>
    </xf>
    <xf numFmtId="0" fontId="18" fillId="11" borderId="35" xfId="1" applyFont="1" applyFill="1" applyBorder="1" applyAlignment="1">
      <alignment horizontal="center" vertical="center"/>
    </xf>
    <xf numFmtId="0" fontId="18" fillId="11" borderId="80" xfId="1" applyFont="1" applyFill="1" applyBorder="1" applyAlignment="1">
      <alignment horizontal="center" vertical="center"/>
    </xf>
    <xf numFmtId="0" fontId="0" fillId="11" borderId="36" xfId="0" applyFill="1" applyBorder="1" applyAlignment="1">
      <alignment horizontal="center" vertical="center"/>
    </xf>
    <xf numFmtId="0" fontId="0" fillId="11" borderId="34" xfId="0" applyFill="1" applyBorder="1" applyAlignment="1">
      <alignment horizontal="center" vertical="center"/>
    </xf>
    <xf numFmtId="0" fontId="0" fillId="11" borderId="26" xfId="0" applyFill="1" applyBorder="1" applyAlignment="1">
      <alignment horizontal="center" vertical="center"/>
    </xf>
    <xf numFmtId="0" fontId="10" fillId="11" borderId="79" xfId="1" applyFill="1" applyBorder="1" applyAlignment="1">
      <alignment horizontal="center" vertical="center"/>
    </xf>
    <xf numFmtId="0" fontId="18" fillId="11" borderId="77" xfId="1" applyFont="1" applyFill="1" applyBorder="1" applyAlignment="1">
      <alignment horizontal="center" vertical="center"/>
    </xf>
    <xf numFmtId="0" fontId="0" fillId="11" borderId="54" xfId="0" applyFill="1" applyBorder="1" applyAlignment="1">
      <alignment horizontal="center" vertical="center"/>
    </xf>
    <xf numFmtId="0" fontId="0" fillId="11" borderId="78" xfId="0" applyFill="1" applyBorder="1" applyAlignment="1">
      <alignment horizontal="center" vertical="center"/>
    </xf>
    <xf numFmtId="0" fontId="18" fillId="11" borderId="78" xfId="1" applyFont="1" applyFill="1" applyBorder="1" applyAlignment="1">
      <alignment horizontal="center" vertical="center"/>
    </xf>
    <xf numFmtId="0" fontId="0" fillId="11" borderId="35" xfId="0" applyFill="1" applyBorder="1" applyAlignment="1">
      <alignment horizontal="center" vertical="center"/>
    </xf>
    <xf numFmtId="0" fontId="10" fillId="11" borderId="78" xfId="1" applyFill="1" applyBorder="1" applyAlignment="1">
      <alignment horizontal="center" vertical="center"/>
    </xf>
    <xf numFmtId="0" fontId="0" fillId="11" borderId="102" xfId="0" applyFill="1" applyBorder="1" applyAlignment="1">
      <alignment horizontal="center" vertical="center"/>
    </xf>
    <xf numFmtId="0" fontId="18" fillId="11" borderId="83" xfId="1" applyFont="1" applyFill="1" applyBorder="1" applyAlignment="1">
      <alignment horizontal="center" vertical="center"/>
    </xf>
    <xf numFmtId="0" fontId="9" fillId="8" borderId="34" xfId="0" applyFont="1" applyFill="1" applyBorder="1" applyAlignment="1">
      <alignment horizontal="center" vertical="center"/>
    </xf>
    <xf numFmtId="0" fontId="9" fillId="8" borderId="35" xfId="0" applyFont="1" applyFill="1" applyBorder="1" applyAlignment="1">
      <alignment horizontal="center" vertical="center"/>
    </xf>
    <xf numFmtId="176" fontId="11" fillId="0" borderId="56" xfId="0" applyNumberFormat="1" applyFont="1" applyBorder="1" applyAlignment="1">
      <alignment vertical="center"/>
    </xf>
    <xf numFmtId="176" fontId="11" fillId="0" borderId="57" xfId="0" applyNumberFormat="1" applyFont="1" applyBorder="1" applyAlignment="1">
      <alignment vertical="center"/>
    </xf>
    <xf numFmtId="176" fontId="11" fillId="0" borderId="58" xfId="0" applyNumberFormat="1" applyFont="1" applyBorder="1" applyAlignment="1">
      <alignment vertical="center"/>
    </xf>
    <xf numFmtId="176" fontId="11" fillId="0" borderId="71" xfId="0" applyNumberFormat="1" applyFont="1" applyBorder="1" applyAlignment="1">
      <alignment vertical="center"/>
    </xf>
    <xf numFmtId="176" fontId="11" fillId="0" borderId="60" xfId="0" applyNumberFormat="1" applyFont="1" applyBorder="1" applyAlignment="1">
      <alignment vertical="center"/>
    </xf>
    <xf numFmtId="176" fontId="11" fillId="0" borderId="72" xfId="0" applyNumberFormat="1" applyFont="1" applyBorder="1" applyAlignment="1">
      <alignment vertical="center"/>
    </xf>
    <xf numFmtId="0" fontId="10" fillId="11" borderId="41" xfId="1" applyFill="1" applyBorder="1" applyAlignment="1">
      <alignment horizontal="center" vertical="center"/>
    </xf>
    <xf numFmtId="0" fontId="18" fillId="11" borderId="36" xfId="1" applyFont="1" applyFill="1" applyBorder="1" applyAlignment="1">
      <alignment horizontal="center" vertical="center"/>
    </xf>
    <xf numFmtId="0" fontId="0" fillId="11" borderId="33" xfId="0" applyFill="1" applyBorder="1" applyAlignment="1">
      <alignment horizontal="center" vertical="center"/>
    </xf>
    <xf numFmtId="0" fontId="18" fillId="11" borderId="31" xfId="0" applyFont="1" applyFill="1" applyBorder="1" applyAlignment="1">
      <alignment horizontal="center" vertical="center"/>
    </xf>
    <xf numFmtId="0" fontId="0" fillId="11" borderId="26" xfId="0" applyFill="1" applyBorder="1" applyAlignment="1">
      <alignment vertical="center"/>
    </xf>
    <xf numFmtId="0" fontId="0" fillId="11" borderId="27" xfId="0" applyFill="1" applyBorder="1" applyAlignment="1">
      <alignment vertical="center"/>
    </xf>
    <xf numFmtId="0" fontId="10" fillId="11" borderId="37" xfId="1" applyFill="1" applyBorder="1" applyAlignment="1">
      <alignment horizontal="center" vertical="center"/>
    </xf>
    <xf numFmtId="0" fontId="18" fillId="11" borderId="54" xfId="1" applyFont="1" applyFill="1" applyBorder="1" applyAlignment="1">
      <alignment horizontal="center" vertical="center"/>
    </xf>
    <xf numFmtId="0" fontId="23" fillId="11" borderId="31" xfId="0" applyFont="1" applyFill="1" applyBorder="1" applyAlignment="1">
      <alignment horizontal="center" vertical="center"/>
    </xf>
    <xf numFmtId="0" fontId="5" fillId="11" borderId="25" xfId="0" applyFont="1" applyFill="1" applyBorder="1" applyAlignment="1">
      <alignment horizontal="center" vertical="center"/>
    </xf>
    <xf numFmtId="0" fontId="5" fillId="11" borderId="26" xfId="0" applyFont="1" applyFill="1" applyBorder="1" applyAlignment="1">
      <alignment horizontal="center" vertical="center"/>
    </xf>
    <xf numFmtId="0" fontId="6" fillId="11" borderId="26" xfId="0" applyFont="1" applyFill="1" applyBorder="1" applyAlignment="1">
      <alignment vertical="center"/>
    </xf>
    <xf numFmtId="0" fontId="6" fillId="11" borderId="27" xfId="0" applyFont="1" applyFill="1" applyBorder="1" applyAlignment="1">
      <alignment vertical="center"/>
    </xf>
    <xf numFmtId="0" fontId="6" fillId="11" borderId="28" xfId="0" applyFont="1" applyFill="1" applyBorder="1" applyAlignment="1">
      <alignment vertical="center"/>
    </xf>
    <xf numFmtId="0" fontId="6" fillId="11" borderId="26" xfId="0" applyFont="1" applyFill="1" applyBorder="1" applyAlignment="1">
      <alignment horizontal="center" vertical="center"/>
    </xf>
    <xf numFmtId="0" fontId="5" fillId="11" borderId="26" xfId="0" applyFont="1" applyFill="1" applyBorder="1" applyAlignment="1">
      <alignment vertical="center"/>
    </xf>
    <xf numFmtId="0" fontId="10" fillId="11" borderId="24" xfId="1" applyFill="1" applyBorder="1" applyAlignment="1">
      <alignment horizontal="center" vertical="center"/>
    </xf>
    <xf numFmtId="0" fontId="18" fillId="11" borderId="31" xfId="1" applyFont="1" applyFill="1" applyBorder="1" applyAlignment="1">
      <alignment horizontal="center" vertical="center"/>
    </xf>
    <xf numFmtId="0" fontId="9" fillId="0" borderId="118" xfId="0" applyFont="1" applyFill="1" applyBorder="1" applyAlignment="1">
      <alignment horizontal="center" vertical="center" wrapText="1"/>
    </xf>
    <xf numFmtId="0" fontId="9" fillId="0" borderId="119" xfId="0" applyFont="1" applyFill="1" applyBorder="1" applyAlignment="1">
      <alignment horizontal="center" vertical="center" wrapText="1"/>
    </xf>
    <xf numFmtId="0" fontId="0" fillId="0" borderId="111" xfId="0" applyBorder="1">
      <alignment vertical="center"/>
    </xf>
    <xf numFmtId="0" fontId="10" fillId="0" borderId="102" xfId="1" applyBorder="1" applyAlignment="1">
      <alignment horizontal="center" vertical="center"/>
    </xf>
    <xf numFmtId="0" fontId="0" fillId="0" borderId="25" xfId="0" applyBorder="1" applyAlignment="1">
      <alignment horizontal="center" vertical="center"/>
    </xf>
    <xf numFmtId="0" fontId="9" fillId="0" borderId="3" xfId="0" applyFont="1" applyBorder="1" applyAlignment="1">
      <alignment horizontal="center" vertical="center"/>
    </xf>
    <xf numFmtId="0" fontId="0" fillId="0" borderId="25" xfId="0" applyBorder="1" applyAlignment="1">
      <alignment horizontal="center" vertical="center"/>
    </xf>
    <xf numFmtId="0" fontId="0" fillId="11" borderId="26" xfId="0" applyFill="1" applyBorder="1" applyAlignment="1">
      <alignment horizontal="center" vertical="center" wrapText="1"/>
    </xf>
    <xf numFmtId="0" fontId="0" fillId="11" borderId="26" xfId="0" applyFill="1" applyBorder="1" applyAlignment="1">
      <alignment horizontal="center" vertical="center"/>
    </xf>
    <xf numFmtId="0" fontId="9" fillId="0" borderId="0" xfId="0" applyFont="1" applyBorder="1" applyAlignment="1">
      <alignment horizontal="center" vertical="center"/>
    </xf>
    <xf numFmtId="0" fontId="20" fillId="0" borderId="1" xfId="0" applyFont="1" applyBorder="1" applyAlignment="1">
      <alignment horizontal="center" vertical="center" wrapText="1"/>
    </xf>
    <xf numFmtId="0" fontId="0" fillId="12" borderId="43" xfId="0" applyFill="1" applyBorder="1" applyAlignment="1">
      <alignment horizontal="center" vertical="center"/>
    </xf>
    <xf numFmtId="0" fontId="0" fillId="12" borderId="45" xfId="0" applyFill="1" applyBorder="1" applyAlignment="1">
      <alignment horizontal="center" vertical="center"/>
    </xf>
    <xf numFmtId="176" fontId="0" fillId="12" borderId="45" xfId="0" applyNumberFormat="1" applyFill="1" applyBorder="1" applyAlignment="1">
      <alignment horizontal="center" vertical="center"/>
    </xf>
    <xf numFmtId="0" fontId="0" fillId="4" borderId="45" xfId="0" applyFill="1" applyBorder="1" applyAlignment="1">
      <alignment horizontal="center" vertical="center"/>
    </xf>
    <xf numFmtId="0" fontId="0" fillId="4" borderId="43" xfId="0" applyFill="1" applyBorder="1" applyAlignment="1">
      <alignment horizontal="center" vertical="center"/>
    </xf>
    <xf numFmtId="0" fontId="0" fillId="11" borderId="26" xfId="0" applyFill="1" applyBorder="1" applyAlignment="1">
      <alignment horizontal="center" vertical="center"/>
    </xf>
    <xf numFmtId="0" fontId="0" fillId="0" borderId="25" xfId="0" applyBorder="1" applyAlignment="1">
      <alignment horizontal="center" vertical="center"/>
    </xf>
    <xf numFmtId="0" fontId="0" fillId="11" borderId="30" xfId="0" applyFill="1" applyBorder="1" applyAlignment="1">
      <alignment horizontal="center" vertical="center" wrapText="1"/>
    </xf>
    <xf numFmtId="0" fontId="11" fillId="0" borderId="0" xfId="0" applyFont="1" applyBorder="1" applyAlignment="1">
      <alignment horizontal="left" vertical="top" wrapText="1"/>
    </xf>
    <xf numFmtId="0" fontId="20" fillId="0" borderId="0" xfId="0" applyFont="1" applyBorder="1" applyAlignment="1">
      <alignment horizontal="left" vertical="top"/>
    </xf>
    <xf numFmtId="0" fontId="20" fillId="0" borderId="0" xfId="0" applyFont="1" applyBorder="1" applyAlignment="1">
      <alignment horizontal="left" vertical="top" wrapText="1"/>
    </xf>
    <xf numFmtId="0" fontId="31" fillId="0" borderId="0" xfId="0" applyFont="1" applyBorder="1" applyAlignment="1">
      <alignment horizontal="center" vertical="center" wrapText="1"/>
    </xf>
    <xf numFmtId="0" fontId="20" fillId="0" borderId="0" xfId="0" applyFont="1" applyBorder="1" applyAlignment="1">
      <alignment horizontal="center" vertical="center" wrapText="1"/>
    </xf>
    <xf numFmtId="176" fontId="0" fillId="12" borderId="43" xfId="0" applyNumberFormat="1" applyFill="1" applyBorder="1" applyAlignment="1">
      <alignment horizontal="center" vertical="center" wrapText="1"/>
    </xf>
    <xf numFmtId="0" fontId="0" fillId="4" borderId="100" xfId="0" applyFill="1" applyBorder="1" applyAlignment="1">
      <alignment horizontal="center" vertical="center"/>
    </xf>
    <xf numFmtId="176" fontId="0" fillId="4" borderId="100" xfId="0" applyNumberFormat="1" applyFill="1" applyBorder="1" applyAlignment="1">
      <alignment horizontal="center" vertical="center"/>
    </xf>
    <xf numFmtId="176" fontId="21" fillId="2" borderId="126" xfId="0" applyNumberFormat="1" applyFont="1" applyFill="1" applyBorder="1" applyAlignment="1">
      <alignment horizontal="center" vertical="center"/>
    </xf>
    <xf numFmtId="176" fontId="21" fillId="2" borderId="127" xfId="0" applyNumberFormat="1" applyFont="1" applyFill="1" applyBorder="1" applyAlignment="1">
      <alignment horizontal="center" vertical="center"/>
    </xf>
    <xf numFmtId="0" fontId="20" fillId="0" borderId="128" xfId="0" applyFont="1" applyBorder="1" applyAlignment="1">
      <alignment vertical="center"/>
    </xf>
    <xf numFmtId="0" fontId="20" fillId="8" borderId="126" xfId="0" applyFont="1" applyFill="1" applyBorder="1" applyAlignment="1">
      <alignment vertical="center"/>
    </xf>
    <xf numFmtId="0" fontId="20" fillId="8" borderId="127" xfId="0" applyFont="1" applyFill="1" applyBorder="1" applyAlignment="1">
      <alignment vertical="center"/>
    </xf>
    <xf numFmtId="0" fontId="20" fillId="0" borderId="126" xfId="0" applyFont="1" applyBorder="1" applyAlignment="1">
      <alignment vertical="center"/>
    </xf>
    <xf numFmtId="0" fontId="20" fillId="0" borderId="127" xfId="0" applyFont="1" applyBorder="1" applyAlignment="1">
      <alignment vertical="center"/>
    </xf>
    <xf numFmtId="0" fontId="20" fillId="0" borderId="129" xfId="0" applyFont="1" applyBorder="1" applyAlignment="1">
      <alignment vertical="center"/>
    </xf>
    <xf numFmtId="0" fontId="0" fillId="0" borderId="126" xfId="0" applyBorder="1" applyAlignment="1">
      <alignment vertical="center"/>
    </xf>
    <xf numFmtId="0" fontId="0" fillId="0" borderId="127" xfId="0" applyBorder="1" applyAlignment="1">
      <alignment vertical="center"/>
    </xf>
    <xf numFmtId="0" fontId="10" fillId="11" borderId="0" xfId="1" applyFill="1" applyAlignment="1">
      <alignment horizontal="center" vertical="center"/>
    </xf>
    <xf numFmtId="0" fontId="0" fillId="0" borderId="25" xfId="0" applyBorder="1" applyAlignment="1">
      <alignment horizontal="center" vertical="center"/>
    </xf>
    <xf numFmtId="0" fontId="0" fillId="11" borderId="31" xfId="0" applyFill="1" applyBorder="1" applyAlignment="1">
      <alignment horizontal="center" vertical="center"/>
    </xf>
    <xf numFmtId="0" fontId="0" fillId="11" borderId="26" xfId="0" applyFill="1" applyBorder="1" applyAlignment="1">
      <alignment horizontal="center" vertical="center"/>
    </xf>
    <xf numFmtId="176" fontId="0" fillId="4" borderId="43" xfId="0" applyNumberFormat="1" applyFill="1" applyBorder="1" applyAlignment="1">
      <alignment horizontal="center" vertical="center" wrapText="1"/>
    </xf>
    <xf numFmtId="0" fontId="0" fillId="8" borderId="25" xfId="0" applyFill="1" applyBorder="1" applyAlignment="1">
      <alignment horizontal="center" vertical="center" wrapText="1"/>
    </xf>
    <xf numFmtId="0" fontId="10" fillId="8" borderId="80" xfId="1" applyFill="1" applyBorder="1" applyAlignment="1">
      <alignment horizontal="center" vertical="center"/>
    </xf>
    <xf numFmtId="0" fontId="18" fillId="8" borderId="83" xfId="1" applyFont="1" applyFill="1" applyBorder="1" applyAlignment="1">
      <alignment horizontal="center" vertical="center"/>
    </xf>
    <xf numFmtId="0" fontId="10" fillId="8" borderId="102" xfId="1" applyFill="1" applyBorder="1" applyAlignment="1">
      <alignment horizontal="center" vertical="center"/>
    </xf>
    <xf numFmtId="0" fontId="0" fillId="0" borderId="130" xfId="0" applyBorder="1" applyAlignment="1">
      <alignment horizontal="center" vertical="center"/>
    </xf>
    <xf numFmtId="0" fontId="10" fillId="14" borderId="102" xfId="1" applyFill="1" applyBorder="1" applyAlignment="1">
      <alignment horizontal="center" vertical="center"/>
    </xf>
    <xf numFmtId="0" fontId="18" fillId="14" borderId="83" xfId="1" applyFont="1" applyFill="1" applyBorder="1" applyAlignment="1">
      <alignment horizontal="center" vertical="center"/>
    </xf>
    <xf numFmtId="0" fontId="18" fillId="14" borderId="78" xfId="1" applyFont="1" applyFill="1" applyBorder="1" applyAlignment="1">
      <alignment horizontal="center" vertical="center"/>
    </xf>
    <xf numFmtId="0" fontId="0" fillId="14" borderId="78" xfId="0" applyFill="1" applyBorder="1" applyAlignment="1">
      <alignment horizontal="center" vertical="center"/>
    </xf>
    <xf numFmtId="0" fontId="0" fillId="14" borderId="35" xfId="0" applyFill="1" applyBorder="1" applyAlignment="1">
      <alignment horizontal="center" vertical="center"/>
    </xf>
    <xf numFmtId="0" fontId="0" fillId="14" borderId="26" xfId="0" applyFill="1" applyBorder="1" applyAlignment="1">
      <alignment horizontal="center" vertical="center"/>
    </xf>
    <xf numFmtId="0" fontId="20" fillId="4" borderId="126" xfId="0" applyFont="1" applyFill="1" applyBorder="1" applyAlignment="1">
      <alignment vertical="center"/>
    </xf>
    <xf numFmtId="0" fontId="14" fillId="0" borderId="0" xfId="3"/>
    <xf numFmtId="0" fontId="0" fillId="0" borderId="25" xfId="0" applyBorder="1" applyAlignment="1">
      <alignment horizontal="center" vertical="center"/>
    </xf>
    <xf numFmtId="0" fontId="9" fillId="8" borderId="131" xfId="0" applyFont="1" applyFill="1" applyBorder="1" applyAlignment="1">
      <alignment horizontal="center" vertical="center"/>
    </xf>
    <xf numFmtId="0" fontId="9" fillId="0" borderId="130" xfId="0" applyFont="1" applyFill="1" applyBorder="1" applyAlignment="1">
      <alignment horizontal="center" vertical="center"/>
    </xf>
    <xf numFmtId="0" fontId="9" fillId="0" borderId="130" xfId="0" applyFont="1" applyFill="1" applyBorder="1" applyAlignment="1">
      <alignment horizontal="center" vertical="center" wrapText="1"/>
    </xf>
    <xf numFmtId="0" fontId="25" fillId="7" borderId="131" xfId="0" applyFont="1" applyFill="1" applyBorder="1" applyAlignment="1">
      <alignment horizontal="center" vertical="center"/>
    </xf>
    <xf numFmtId="0" fontId="25" fillId="7" borderId="130" xfId="0" applyFont="1" applyFill="1" applyBorder="1" applyAlignment="1">
      <alignment horizontal="center" vertical="center"/>
    </xf>
    <xf numFmtId="0" fontId="10" fillId="11" borderId="89" xfId="1" applyFill="1" applyBorder="1" applyAlignment="1">
      <alignment horizontal="center" vertical="center"/>
    </xf>
    <xf numFmtId="0" fontId="18" fillId="11" borderId="1" xfId="1" applyFont="1" applyFill="1" applyBorder="1" applyAlignment="1">
      <alignment horizontal="center" vertical="center"/>
    </xf>
    <xf numFmtId="176" fontId="4" fillId="7" borderId="42" xfId="0" applyNumberFormat="1" applyFont="1" applyFill="1" applyBorder="1" applyAlignment="1">
      <alignment horizontal="center" vertical="center"/>
    </xf>
    <xf numFmtId="0" fontId="30" fillId="0" borderId="0" xfId="0" applyFont="1">
      <alignment vertical="center"/>
    </xf>
    <xf numFmtId="0" fontId="37" fillId="0" borderId="133" xfId="0" applyFont="1" applyBorder="1" applyAlignment="1">
      <alignment horizontal="center" vertical="center"/>
    </xf>
    <xf numFmtId="0" fontId="38" fillId="0" borderId="133" xfId="0" applyFont="1" applyBorder="1">
      <alignment vertical="center"/>
    </xf>
    <xf numFmtId="0" fontId="38" fillId="0" borderId="138" xfId="0" applyFont="1" applyBorder="1">
      <alignment vertical="center"/>
    </xf>
    <xf numFmtId="0" fontId="38" fillId="0" borderId="1" xfId="0" applyFont="1" applyBorder="1" applyAlignment="1">
      <alignment horizontal="center" vertical="center"/>
    </xf>
    <xf numFmtId="0" fontId="38" fillId="0" borderId="1" xfId="0" applyFont="1" applyBorder="1" applyAlignment="1">
      <alignment horizontal="center" vertical="center" wrapText="1"/>
    </xf>
    <xf numFmtId="0" fontId="38" fillId="0" borderId="1" xfId="0" applyFont="1" applyBorder="1">
      <alignment vertical="center"/>
    </xf>
    <xf numFmtId="0" fontId="38" fillId="0" borderId="2" xfId="0" applyFont="1" applyBorder="1">
      <alignment vertical="center"/>
    </xf>
    <xf numFmtId="0" fontId="38" fillId="0" borderId="0" xfId="0" applyFont="1">
      <alignment vertical="center"/>
    </xf>
    <xf numFmtId="0" fontId="38" fillId="0" borderId="136" xfId="0" applyFont="1" applyBorder="1" applyAlignment="1">
      <alignment horizontal="center" vertical="center"/>
    </xf>
    <xf numFmtId="0" fontId="38" fillId="0" borderId="134" xfId="0" applyFont="1" applyBorder="1">
      <alignment vertical="center"/>
    </xf>
    <xf numFmtId="0" fontId="38" fillId="0" borderId="134" xfId="0" applyFont="1" applyBorder="1" applyAlignment="1">
      <alignment horizontal="center" vertical="center" wrapText="1"/>
    </xf>
    <xf numFmtId="0" fontId="38" fillId="0" borderId="135" xfId="0" applyFont="1" applyBorder="1">
      <alignment vertical="center"/>
    </xf>
    <xf numFmtId="0" fontId="38" fillId="0" borderId="25" xfId="0" applyFont="1" applyBorder="1" applyAlignment="1">
      <alignment horizontal="center" vertical="center"/>
    </xf>
    <xf numFmtId="0" fontId="0" fillId="0" borderId="0" xfId="0" applyAlignment="1">
      <alignment horizontal="center" vertical="center"/>
    </xf>
    <xf numFmtId="0" fontId="4" fillId="7" borderId="1" xfId="0" applyFont="1" applyFill="1" applyBorder="1" applyAlignment="1">
      <alignment horizontal="center" vertical="center"/>
    </xf>
    <xf numFmtId="0" fontId="0" fillId="14" borderId="25" xfId="0" applyFill="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lignment horizontal="center" vertical="center" wrapText="1"/>
    </xf>
    <xf numFmtId="181" fontId="4" fillId="7" borderId="1" xfId="0" applyNumberFormat="1" applyFont="1" applyFill="1" applyBorder="1" applyAlignment="1">
      <alignment horizontal="center" vertical="center"/>
    </xf>
    <xf numFmtId="181" fontId="15" fillId="7" borderId="1" xfId="0" applyNumberFormat="1" applyFont="1" applyFill="1" applyBorder="1" applyAlignment="1">
      <alignment horizontal="center" vertical="center"/>
    </xf>
    <xf numFmtId="0" fontId="9" fillId="0" borderId="0" xfId="0" applyFont="1" applyBorder="1" applyAlignment="1">
      <alignment vertical="top" wrapText="1"/>
    </xf>
    <xf numFmtId="0" fontId="38" fillId="0" borderId="2" xfId="0" applyFont="1" applyBorder="1" applyAlignment="1">
      <alignment horizontal="center" vertical="center"/>
    </xf>
    <xf numFmtId="0" fontId="0" fillId="0" borderId="25" xfId="0" applyBorder="1" applyAlignment="1">
      <alignment horizontal="center" vertical="center"/>
    </xf>
    <xf numFmtId="0" fontId="0" fillId="11" borderId="26" xfId="0" applyFill="1" applyBorder="1" applyAlignment="1">
      <alignment horizontal="center" vertical="center"/>
    </xf>
    <xf numFmtId="0" fontId="4" fillId="7" borderId="25"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9" fillId="5" borderId="30" xfId="0" applyFont="1" applyFill="1" applyBorder="1" applyAlignment="1">
      <alignment horizontal="center" vertical="center"/>
    </xf>
    <xf numFmtId="0" fontId="9" fillId="5" borderId="25" xfId="0" applyFont="1" applyFill="1" applyBorder="1" applyAlignment="1">
      <alignment horizontal="center" vertical="center"/>
    </xf>
    <xf numFmtId="0" fontId="18" fillId="12" borderId="83" xfId="1" applyFont="1" applyFill="1" applyBorder="1" applyAlignment="1">
      <alignment horizontal="center" vertical="center"/>
    </xf>
    <xf numFmtId="0" fontId="0" fillId="12" borderId="78" xfId="0" applyFill="1" applyBorder="1" applyAlignment="1">
      <alignment horizontal="center" vertical="center"/>
    </xf>
    <xf numFmtId="0" fontId="0" fillId="12" borderId="35" xfId="0" applyFill="1" applyBorder="1" applyAlignment="1">
      <alignment horizontal="center" vertical="center"/>
    </xf>
    <xf numFmtId="0" fontId="0" fillId="12" borderId="26" xfId="0" applyFill="1" applyBorder="1" applyAlignment="1">
      <alignment horizontal="center" vertical="center"/>
    </xf>
    <xf numFmtId="0" fontId="0" fillId="12" borderId="34" xfId="0" applyFill="1" applyBorder="1" applyAlignment="1">
      <alignment vertical="center"/>
    </xf>
    <xf numFmtId="0" fontId="0" fillId="12" borderId="35" xfId="0" applyFill="1" applyBorder="1" applyAlignment="1">
      <alignment vertical="center"/>
    </xf>
    <xf numFmtId="0" fontId="10" fillId="11" borderId="102" xfId="1" applyFill="1" applyBorder="1" applyAlignment="1">
      <alignment horizontal="center" vertical="center"/>
    </xf>
    <xf numFmtId="0" fontId="18" fillId="12" borderId="31" xfId="0" applyFont="1" applyFill="1" applyBorder="1" applyAlignment="1">
      <alignment horizontal="center" vertical="center"/>
    </xf>
    <xf numFmtId="0" fontId="9" fillId="11" borderId="25" xfId="0" applyFont="1" applyFill="1" applyBorder="1" applyAlignment="1">
      <alignment horizontal="center" vertical="center"/>
    </xf>
    <xf numFmtId="0" fontId="0" fillId="0" borderId="130" xfId="0" applyBorder="1" applyAlignment="1">
      <alignment horizontal="center" vertical="center" wrapText="1"/>
    </xf>
    <xf numFmtId="180" fontId="4" fillId="7" borderId="94" xfId="0" applyNumberFormat="1" applyFont="1" applyFill="1" applyBorder="1" applyAlignment="1">
      <alignment horizontal="center" vertical="center"/>
    </xf>
    <xf numFmtId="180" fontId="4" fillId="7" borderId="93" xfId="0" applyNumberFormat="1" applyFont="1" applyFill="1" applyBorder="1" applyAlignment="1">
      <alignment horizontal="center" vertical="center"/>
    </xf>
    <xf numFmtId="180" fontId="4" fillId="7" borderId="95" xfId="0" applyNumberFormat="1" applyFont="1" applyFill="1" applyBorder="1" applyAlignment="1">
      <alignment horizontal="center" vertical="center"/>
    </xf>
    <xf numFmtId="0" fontId="4" fillId="7" borderId="109" xfId="0" applyFont="1" applyFill="1" applyBorder="1" applyAlignment="1">
      <alignment horizontal="center" vertical="center"/>
    </xf>
    <xf numFmtId="0" fontId="0" fillId="0" borderId="1" xfId="0" applyBorder="1" applyAlignment="1">
      <alignment horizontal="center" vertical="center"/>
    </xf>
    <xf numFmtId="0" fontId="0" fillId="0" borderId="25" xfId="0" applyBorder="1" applyAlignment="1">
      <alignment horizontal="center" vertical="center"/>
    </xf>
    <xf numFmtId="0" fontId="9" fillId="0" borderId="76" xfId="0" applyFont="1" applyBorder="1" applyAlignment="1">
      <alignment vertical="top" wrapText="1"/>
    </xf>
    <xf numFmtId="0" fontId="9" fillId="0" borderId="0" xfId="0" applyFont="1" applyBorder="1" applyAlignment="1">
      <alignment vertical="top" wrapText="1"/>
    </xf>
    <xf numFmtId="0" fontId="0" fillId="4" borderId="45" xfId="0" applyFill="1" applyBorder="1" applyAlignment="1">
      <alignment horizontal="center" vertical="center"/>
    </xf>
    <xf numFmtId="0" fontId="0" fillId="4" borderId="43" xfId="0" applyFill="1" applyBorder="1" applyAlignment="1">
      <alignment horizontal="center" vertical="center"/>
    </xf>
    <xf numFmtId="0" fontId="0" fillId="0" borderId="1" xfId="0" applyBorder="1" applyAlignment="1">
      <alignment horizontal="center" vertical="center"/>
    </xf>
    <xf numFmtId="0" fontId="0" fillId="4" borderId="100" xfId="0" applyFill="1" applyBorder="1" applyAlignment="1">
      <alignment horizontal="center" vertical="center"/>
    </xf>
    <xf numFmtId="0" fontId="0" fillId="12" borderId="43" xfId="0" applyFill="1" applyBorder="1" applyAlignment="1">
      <alignment horizontal="center" vertical="center"/>
    </xf>
    <xf numFmtId="0" fontId="0" fillId="12" borderId="45" xfId="0" applyFill="1" applyBorder="1" applyAlignment="1">
      <alignment horizontal="center" vertical="center"/>
    </xf>
    <xf numFmtId="0" fontId="38" fillId="0" borderId="3" xfId="0" applyFont="1" applyBorder="1" applyAlignment="1">
      <alignment horizontal="center" vertical="center"/>
    </xf>
    <xf numFmtId="0" fontId="0" fillId="0" borderId="25" xfId="0" applyBorder="1" applyAlignment="1">
      <alignment horizontal="center" vertical="center"/>
    </xf>
    <xf numFmtId="0" fontId="0" fillId="11" borderId="26" xfId="0" applyFill="1" applyBorder="1" applyAlignment="1">
      <alignment horizontal="center" vertical="center"/>
    </xf>
    <xf numFmtId="0" fontId="40" fillId="12" borderId="102" xfId="1" applyFont="1" applyFill="1" applyBorder="1" applyAlignment="1">
      <alignment horizontal="center" vertical="center"/>
    </xf>
    <xf numFmtId="0" fontId="4" fillId="7" borderId="42" xfId="0" applyFont="1" applyFill="1" applyBorder="1" applyAlignment="1">
      <alignment horizontal="center" vertical="center"/>
    </xf>
    <xf numFmtId="0" fontId="0" fillId="0" borderId="0" xfId="0" applyBorder="1" applyAlignment="1">
      <alignment horizontal="center" vertical="center"/>
    </xf>
    <xf numFmtId="0" fontId="0" fillId="11" borderId="26" xfId="0" applyFill="1" applyBorder="1" applyAlignment="1">
      <alignment horizontal="center" vertical="center"/>
    </xf>
    <xf numFmtId="0" fontId="0" fillId="0" borderId="25" xfId="0" applyBorder="1" applyAlignment="1">
      <alignment horizontal="center" vertical="center"/>
    </xf>
    <xf numFmtId="0" fontId="0" fillId="4" borderId="25" xfId="0" applyFill="1" applyBorder="1" applyAlignment="1">
      <alignment horizontal="center" vertical="center"/>
    </xf>
    <xf numFmtId="0" fontId="38" fillId="4" borderId="1" xfId="0" applyFont="1" applyFill="1" applyBorder="1">
      <alignment vertical="center"/>
    </xf>
    <xf numFmtId="0" fontId="38" fillId="4" borderId="2" xfId="0" applyFont="1" applyFill="1" applyBorder="1" applyAlignment="1">
      <alignment horizontal="center" vertical="center"/>
    </xf>
    <xf numFmtId="0" fontId="38" fillId="4" borderId="134" xfId="0" applyFont="1" applyFill="1" applyBorder="1">
      <alignment vertical="center"/>
    </xf>
    <xf numFmtId="0" fontId="38" fillId="4" borderId="1" xfId="0" applyFont="1" applyFill="1" applyBorder="1" applyAlignment="1">
      <alignment horizontal="center" vertical="center" wrapText="1"/>
    </xf>
    <xf numFmtId="0" fontId="0" fillId="12" borderId="100" xfId="0" applyFill="1" applyBorder="1" applyAlignment="1">
      <alignment horizontal="center" vertical="center"/>
    </xf>
    <xf numFmtId="176" fontId="0" fillId="12" borderId="100" xfId="0" applyNumberFormat="1" applyFill="1" applyBorder="1" applyAlignment="1">
      <alignment horizontal="center" vertical="center" wrapText="1"/>
    </xf>
    <xf numFmtId="0" fontId="16" fillId="11" borderId="25" xfId="0" applyFont="1" applyFill="1" applyBorder="1" applyAlignment="1">
      <alignment horizontal="center" vertical="center"/>
    </xf>
    <xf numFmtId="0" fontId="38" fillId="0" borderId="71" xfId="0" applyFont="1" applyBorder="1" applyAlignment="1">
      <alignment horizontal="center" vertical="center"/>
    </xf>
    <xf numFmtId="0" fontId="38" fillId="0" borderId="15" xfId="0" applyFont="1" applyBorder="1" applyAlignment="1">
      <alignment horizontal="center" vertical="center"/>
    </xf>
    <xf numFmtId="0" fontId="38" fillId="0" borderId="43" xfId="0" applyFont="1" applyBorder="1" applyAlignment="1">
      <alignment horizontal="center" vertical="center"/>
    </xf>
    <xf numFmtId="0" fontId="37" fillId="0" borderId="142" xfId="0" applyFont="1" applyBorder="1" applyAlignment="1">
      <alignment vertical="center"/>
    </xf>
    <xf numFmtId="0" fontId="37" fillId="0" borderId="137" xfId="0" applyFont="1" applyBorder="1" applyAlignment="1">
      <alignment vertical="center"/>
    </xf>
    <xf numFmtId="0" fontId="38" fillId="0" borderId="4" xfId="0" applyFont="1" applyBorder="1" applyAlignment="1">
      <alignment vertical="center"/>
    </xf>
    <xf numFmtId="0" fontId="38" fillId="0" borderId="3" xfId="0" applyFont="1" applyBorder="1" applyAlignment="1">
      <alignment vertical="center"/>
    </xf>
    <xf numFmtId="0" fontId="38" fillId="0" borderId="34" xfId="0" applyFont="1" applyBorder="1" applyAlignment="1">
      <alignment horizontal="center"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176" fontId="0" fillId="12" borderId="100" xfId="0" quotePrefix="1" applyNumberFormat="1" applyFill="1" applyBorder="1" applyAlignment="1">
      <alignment horizontal="center" vertical="center" wrapText="1"/>
    </xf>
    <xf numFmtId="0" fontId="0" fillId="8" borderId="0" xfId="0" applyFill="1" applyAlignment="1">
      <alignment horizontal="center" vertical="center"/>
    </xf>
    <xf numFmtId="0" fontId="0" fillId="4" borderId="30" xfId="0" applyFill="1" applyBorder="1" applyAlignment="1">
      <alignment horizontal="center" vertical="center"/>
    </xf>
    <xf numFmtId="176" fontId="0" fillId="4" borderId="74" xfId="0" applyNumberFormat="1" applyFill="1" applyBorder="1" applyAlignment="1">
      <alignment horizontal="center" vertical="center"/>
    </xf>
    <xf numFmtId="0" fontId="10" fillId="11" borderId="81" xfId="1" applyFill="1" applyBorder="1" applyAlignment="1">
      <alignment horizontal="center" vertical="center"/>
    </xf>
    <xf numFmtId="0" fontId="0" fillId="11" borderId="83" xfId="0" applyFill="1" applyBorder="1" applyAlignment="1">
      <alignment horizontal="center" vertical="center"/>
    </xf>
    <xf numFmtId="0" fontId="10" fillId="8" borderId="143" xfId="1" applyFill="1" applyBorder="1" applyAlignment="1">
      <alignment horizontal="center" vertical="center"/>
    </xf>
    <xf numFmtId="0" fontId="18" fillId="8" borderId="144" xfId="1" applyFont="1" applyFill="1" applyBorder="1" applyAlignment="1">
      <alignment horizontal="center" vertical="center"/>
    </xf>
    <xf numFmtId="0" fontId="9" fillId="11" borderId="30" xfId="0" applyFont="1" applyFill="1" applyBorder="1" applyAlignment="1">
      <alignment horizontal="center" vertical="center"/>
    </xf>
    <xf numFmtId="0" fontId="0" fillId="8" borderId="145" xfId="0" applyFill="1" applyBorder="1" applyAlignment="1">
      <alignment horizontal="center" vertical="center"/>
    </xf>
    <xf numFmtId="0" fontId="18" fillId="8" borderId="146" xfId="1" applyFont="1" applyFill="1" applyBorder="1" applyAlignment="1">
      <alignment horizontal="center" vertical="center"/>
    </xf>
    <xf numFmtId="0" fontId="18" fillId="8" borderId="147" xfId="1" applyFont="1" applyFill="1" applyBorder="1" applyAlignment="1">
      <alignment horizontal="center" vertical="center"/>
    </xf>
    <xf numFmtId="0" fontId="6" fillId="11" borderId="34" xfId="0" applyFont="1" applyFill="1" applyBorder="1" applyAlignment="1">
      <alignment vertical="center"/>
    </xf>
    <xf numFmtId="0" fontId="6" fillId="11" borderId="35" xfId="0" applyFont="1" applyFill="1" applyBorder="1" applyAlignment="1">
      <alignment vertical="center"/>
    </xf>
    <xf numFmtId="0" fontId="5" fillId="11" borderId="34" xfId="0" applyFont="1" applyFill="1" applyBorder="1" applyAlignment="1">
      <alignment vertical="center"/>
    </xf>
    <xf numFmtId="0" fontId="6" fillId="14" borderId="34" xfId="0" applyFont="1" applyFill="1" applyBorder="1" applyAlignment="1">
      <alignment vertical="center"/>
    </xf>
    <xf numFmtId="0" fontId="6" fillId="14" borderId="35" xfId="0" applyFont="1" applyFill="1" applyBorder="1" applyAlignment="1">
      <alignment vertical="center"/>
    </xf>
    <xf numFmtId="0" fontId="10" fillId="4" borderId="78" xfId="1" applyFill="1" applyBorder="1" applyAlignment="1">
      <alignment horizontal="center" vertical="center"/>
    </xf>
    <xf numFmtId="0" fontId="18" fillId="4" borderId="91" xfId="1" applyFont="1" applyFill="1" applyBorder="1" applyAlignment="1">
      <alignment horizontal="center" vertical="center"/>
    </xf>
    <xf numFmtId="0" fontId="18" fillId="4" borderId="1" xfId="1" applyFont="1" applyFill="1" applyBorder="1" applyAlignment="1">
      <alignment horizontal="center" vertical="center"/>
    </xf>
    <xf numFmtId="0" fontId="0" fillId="4" borderId="78" xfId="0" applyFill="1" applyBorder="1" applyAlignment="1">
      <alignment horizontal="center" vertical="center"/>
    </xf>
    <xf numFmtId="0" fontId="0" fillId="4" borderId="35" xfId="0" applyFill="1" applyBorder="1" applyAlignment="1">
      <alignment horizontal="center" vertical="center"/>
    </xf>
    <xf numFmtId="0" fontId="0" fillId="4" borderId="26" xfId="0" applyFill="1" applyBorder="1" applyAlignment="1">
      <alignment horizontal="center" vertical="center"/>
    </xf>
    <xf numFmtId="0" fontId="0" fillId="4" borderId="34" xfId="0" applyFill="1" applyBorder="1" applyAlignment="1">
      <alignment vertical="center"/>
    </xf>
    <xf numFmtId="0" fontId="0" fillId="4" borderId="35" xfId="0" applyFill="1" applyBorder="1" applyAlignment="1">
      <alignment vertical="center"/>
    </xf>
    <xf numFmtId="0" fontId="38" fillId="4" borderId="2" xfId="0" applyFont="1" applyFill="1" applyBorder="1" applyAlignment="1">
      <alignment horizontal="center" vertical="center" wrapText="1"/>
    </xf>
    <xf numFmtId="0" fontId="41" fillId="0" borderId="141" xfId="0" applyFont="1" applyBorder="1" applyAlignment="1">
      <alignment vertical="center"/>
    </xf>
    <xf numFmtId="0" fontId="41" fillId="4" borderId="2" xfId="0" applyFont="1" applyFill="1" applyBorder="1" applyAlignment="1">
      <alignment horizontal="center" vertical="center"/>
    </xf>
    <xf numFmtId="0" fontId="41" fillId="0" borderId="2" xfId="0" applyFont="1" applyBorder="1" applyAlignment="1">
      <alignment horizontal="center" vertical="center"/>
    </xf>
    <xf numFmtId="0" fontId="12" fillId="15" borderId="149" xfId="0" applyFont="1" applyFill="1" applyBorder="1" applyAlignment="1">
      <alignment horizontal="center" vertical="center"/>
    </xf>
    <xf numFmtId="0" fontId="20" fillId="13" borderId="149" xfId="0" applyFont="1" applyFill="1" applyBorder="1" applyAlignment="1">
      <alignment horizontal="center" vertical="center" wrapText="1"/>
    </xf>
    <xf numFmtId="0" fontId="20" fillId="0" borderId="149" xfId="0" applyFont="1" applyBorder="1">
      <alignment vertical="center"/>
    </xf>
    <xf numFmtId="0" fontId="20" fillId="16" borderId="149" xfId="0" applyFont="1" applyFill="1" applyBorder="1">
      <alignment vertical="center"/>
    </xf>
    <xf numFmtId="0" fontId="20" fillId="0" borderId="149" xfId="0" applyFont="1" applyBorder="1" applyAlignment="1">
      <alignment horizontal="center" vertical="center"/>
    </xf>
    <xf numFmtId="0" fontId="20" fillId="16" borderId="149" xfId="0" applyFont="1" applyFill="1" applyBorder="1" applyAlignment="1">
      <alignment horizontal="center" vertical="center"/>
    </xf>
    <xf numFmtId="0" fontId="20" fillId="13" borderId="149" xfId="0" applyFont="1" applyFill="1" applyBorder="1" applyAlignment="1">
      <alignment horizontal="center" vertical="center"/>
    </xf>
    <xf numFmtId="180" fontId="9" fillId="4" borderId="96" xfId="0" applyNumberFormat="1" applyFont="1" applyFill="1" applyBorder="1" applyAlignment="1">
      <alignment horizontal="center" vertical="center"/>
    </xf>
    <xf numFmtId="180" fontId="9" fillId="4" borderId="98" xfId="0" applyNumberFormat="1" applyFont="1" applyFill="1" applyBorder="1" applyAlignment="1">
      <alignment horizontal="center" vertical="center"/>
    </xf>
    <xf numFmtId="0" fontId="0" fillId="4" borderId="43" xfId="0" applyFill="1" applyBorder="1" applyAlignment="1">
      <alignment horizontal="center" vertical="center"/>
    </xf>
    <xf numFmtId="0" fontId="0" fillId="4" borderId="100" xfId="0" applyFill="1" applyBorder="1" applyAlignment="1">
      <alignment horizontal="center" vertical="center"/>
    </xf>
    <xf numFmtId="0" fontId="0" fillId="4" borderId="45" xfId="0" applyFill="1" applyBorder="1" applyAlignment="1">
      <alignment horizontal="center" vertical="center"/>
    </xf>
    <xf numFmtId="0" fontId="0" fillId="4" borderId="43" xfId="0" applyFill="1" applyBorder="1" applyAlignment="1">
      <alignment horizontal="center" vertical="center" wrapText="1"/>
    </xf>
    <xf numFmtId="0" fontId="0" fillId="0" borderId="88" xfId="0" applyFill="1" applyBorder="1" applyAlignment="1">
      <alignment horizontal="center" vertical="center"/>
    </xf>
    <xf numFmtId="0" fontId="0" fillId="0" borderId="123" xfId="0" applyFill="1" applyBorder="1" applyAlignment="1">
      <alignment horizontal="center" vertical="center"/>
    </xf>
    <xf numFmtId="0" fontId="0" fillId="0" borderId="40" xfId="0" applyFill="1" applyBorder="1" applyAlignment="1">
      <alignment horizontal="center" vertical="center" wrapText="1"/>
    </xf>
    <xf numFmtId="0" fontId="0" fillId="0" borderId="116" xfId="0" applyFill="1" applyBorder="1" applyAlignment="1">
      <alignment horizontal="center" vertical="center" wrapText="1"/>
    </xf>
    <xf numFmtId="0" fontId="0" fillId="0" borderId="111" xfId="0" applyFill="1" applyBorder="1" applyAlignment="1">
      <alignment horizontal="center" vertical="center" wrapText="1"/>
    </xf>
    <xf numFmtId="0" fontId="0" fillId="0" borderId="107" xfId="0" applyFill="1" applyBorder="1" applyAlignment="1">
      <alignment horizontal="center" vertical="center" wrapText="1"/>
    </xf>
    <xf numFmtId="0" fontId="0" fillId="0" borderId="117" xfId="0" applyFill="1" applyBorder="1" applyAlignment="1">
      <alignment horizontal="center" vertical="center"/>
    </xf>
    <xf numFmtId="0" fontId="0" fillId="0" borderId="112" xfId="0" applyFill="1" applyBorder="1" applyAlignment="1">
      <alignment horizontal="center" vertical="center"/>
    </xf>
    <xf numFmtId="0" fontId="9" fillId="4" borderId="72" xfId="0" applyFont="1" applyFill="1" applyBorder="1" applyAlignment="1">
      <alignment horizontal="center" vertical="center"/>
    </xf>
    <xf numFmtId="0" fontId="9" fillId="4" borderId="101" xfId="0" applyFont="1" applyFill="1" applyBorder="1" applyAlignment="1">
      <alignment horizontal="center" vertical="center"/>
    </xf>
    <xf numFmtId="0" fontId="9" fillId="4" borderId="113"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100" xfId="0" applyFont="1" applyFill="1" applyBorder="1" applyAlignment="1">
      <alignment horizontal="center" vertical="center"/>
    </xf>
    <xf numFmtId="0" fontId="9" fillId="4" borderId="45" xfId="0" applyFont="1" applyFill="1" applyBorder="1" applyAlignment="1">
      <alignment horizontal="center" vertical="center"/>
    </xf>
    <xf numFmtId="0" fontId="9" fillId="8" borderId="81" xfId="0" applyFont="1" applyFill="1" applyBorder="1" applyAlignment="1">
      <alignment horizontal="center" vertical="center" wrapText="1"/>
    </xf>
    <xf numFmtId="0" fontId="9" fillId="8" borderId="82" xfId="0" applyFont="1" applyFill="1" applyBorder="1" applyAlignment="1">
      <alignment horizontal="center" vertical="center" wrapText="1"/>
    </xf>
    <xf numFmtId="0" fontId="9" fillId="8" borderId="83" xfId="0" applyFont="1" applyFill="1" applyBorder="1" applyAlignment="1">
      <alignment horizontal="center" vertical="center" wrapText="1"/>
    </xf>
    <xf numFmtId="0" fontId="9" fillId="0" borderId="120" xfId="0" applyFont="1" applyFill="1" applyBorder="1" applyAlignment="1">
      <alignment horizontal="center" vertical="center" wrapText="1"/>
    </xf>
    <xf numFmtId="0" fontId="9" fillId="0" borderId="121" xfId="0" applyFont="1" applyFill="1" applyBorder="1" applyAlignment="1">
      <alignment horizontal="center" vertical="center" wrapText="1"/>
    </xf>
    <xf numFmtId="0" fontId="9" fillId="0" borderId="122" xfId="0" applyFont="1" applyFill="1" applyBorder="1" applyAlignment="1">
      <alignment horizontal="center" vertical="center" wrapText="1"/>
    </xf>
    <xf numFmtId="0" fontId="9" fillId="4" borderId="76" xfId="0" applyFont="1" applyFill="1" applyBorder="1" applyAlignment="1">
      <alignment horizontal="left" vertical="top" wrapText="1"/>
    </xf>
    <xf numFmtId="0" fontId="16" fillId="4" borderId="0" xfId="0" applyFont="1" applyFill="1" applyBorder="1" applyAlignment="1">
      <alignment horizontal="left" vertical="top" wrapText="1"/>
    </xf>
    <xf numFmtId="0" fontId="9" fillId="4" borderId="0" xfId="0" applyFont="1" applyFill="1" applyBorder="1" applyAlignment="1">
      <alignment horizontal="left" vertical="top" wrapText="1"/>
    </xf>
    <xf numFmtId="0" fontId="16" fillId="4" borderId="106" xfId="0" applyFont="1" applyFill="1" applyBorder="1" applyAlignment="1">
      <alignment horizontal="left" vertical="top" wrapText="1"/>
    </xf>
    <xf numFmtId="0" fontId="16" fillId="4" borderId="111" xfId="0" applyFont="1" applyFill="1" applyBorder="1" applyAlignment="1">
      <alignment horizontal="left" vertical="top" wrapText="1"/>
    </xf>
    <xf numFmtId="0" fontId="0" fillId="4" borderId="45" xfId="0" applyFill="1" applyBorder="1" applyAlignment="1">
      <alignment horizontal="center" vertical="center" wrapText="1"/>
    </xf>
    <xf numFmtId="0" fontId="9" fillId="12" borderId="72" xfId="0" applyFont="1" applyFill="1" applyBorder="1" applyAlignment="1">
      <alignment horizontal="center" vertical="center"/>
    </xf>
    <xf numFmtId="0" fontId="9" fillId="12" borderId="101" xfId="0" applyFont="1" applyFill="1" applyBorder="1" applyAlignment="1">
      <alignment horizontal="center" vertical="center"/>
    </xf>
    <xf numFmtId="0" fontId="9" fillId="12" borderId="113" xfId="0" applyFont="1" applyFill="1" applyBorder="1" applyAlignment="1">
      <alignment horizontal="center" vertical="center"/>
    </xf>
    <xf numFmtId="0" fontId="9" fillId="12" borderId="43" xfId="0" applyFont="1" applyFill="1" applyBorder="1" applyAlignment="1">
      <alignment horizontal="center" vertical="center" wrapText="1"/>
    </xf>
    <xf numFmtId="0" fontId="9" fillId="12" borderId="100" xfId="0" applyFont="1" applyFill="1" applyBorder="1" applyAlignment="1">
      <alignment horizontal="center" vertical="center" wrapText="1"/>
    </xf>
    <xf numFmtId="0" fontId="9" fillId="12" borderId="45" xfId="0" applyFont="1" applyFill="1" applyBorder="1" applyAlignment="1">
      <alignment horizontal="center" vertical="center"/>
    </xf>
    <xf numFmtId="0" fontId="0" fillId="12" borderId="43" xfId="0" applyFill="1" applyBorder="1" applyAlignment="1">
      <alignment horizontal="center" vertical="center"/>
    </xf>
    <xf numFmtId="0" fontId="0" fillId="12" borderId="100" xfId="0" applyFill="1" applyBorder="1" applyAlignment="1">
      <alignment horizontal="center" vertical="center"/>
    </xf>
    <xf numFmtId="0" fontId="0" fillId="12" borderId="45" xfId="0" applyFill="1" applyBorder="1" applyAlignment="1">
      <alignment horizontal="center" vertical="center"/>
    </xf>
    <xf numFmtId="0" fontId="0" fillId="12" borderId="43" xfId="0" applyFill="1" applyBorder="1" applyAlignment="1">
      <alignment horizontal="center" vertical="center" wrapText="1"/>
    </xf>
    <xf numFmtId="0" fontId="9" fillId="12" borderId="76" xfId="0" applyFont="1" applyFill="1" applyBorder="1" applyAlignment="1">
      <alignment horizontal="left" vertical="top" wrapText="1"/>
    </xf>
    <xf numFmtId="0" fontId="16" fillId="12" borderId="0" xfId="0" applyFont="1" applyFill="1" applyBorder="1" applyAlignment="1">
      <alignment horizontal="left" vertical="top" wrapText="1"/>
    </xf>
    <xf numFmtId="0" fontId="16" fillId="12" borderId="106" xfId="0" applyFont="1" applyFill="1" applyBorder="1" applyAlignment="1">
      <alignment horizontal="left" vertical="top" wrapText="1"/>
    </xf>
    <xf numFmtId="0" fontId="16" fillId="12" borderId="111" xfId="0" applyFont="1" applyFill="1" applyBorder="1" applyAlignment="1">
      <alignment horizontal="left" vertical="top" wrapText="1"/>
    </xf>
    <xf numFmtId="0" fontId="0" fillId="12" borderId="2" xfId="0" applyFill="1" applyBorder="1" applyAlignment="1">
      <alignment horizontal="center" vertical="center" wrapText="1"/>
    </xf>
    <xf numFmtId="0" fontId="0" fillId="12" borderId="4"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45" xfId="0" applyFill="1" applyBorder="1" applyAlignment="1">
      <alignment horizontal="center" vertical="center" wrapText="1"/>
    </xf>
    <xf numFmtId="0" fontId="0" fillId="4" borderId="2"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 xfId="0" applyFill="1" applyBorder="1" applyAlignment="1">
      <alignment horizontal="center" vertical="center" wrapText="1"/>
    </xf>
    <xf numFmtId="0" fontId="9" fillId="4" borderId="43" xfId="0" applyFont="1" applyFill="1" applyBorder="1" applyAlignment="1">
      <alignment horizontal="center" vertical="center" wrapText="1"/>
    </xf>
    <xf numFmtId="0" fontId="9" fillId="0" borderId="115" xfId="0" applyFont="1" applyFill="1" applyBorder="1" applyAlignment="1">
      <alignment horizontal="center" vertical="center" wrapText="1"/>
    </xf>
    <xf numFmtId="0" fontId="9" fillId="0" borderId="100" xfId="0" applyFont="1" applyFill="1" applyBorder="1" applyAlignment="1">
      <alignment horizontal="center" vertical="center" wrapText="1"/>
    </xf>
    <xf numFmtId="0" fontId="9" fillId="0" borderId="76" xfId="0" applyFont="1" applyFill="1" applyBorder="1" applyAlignment="1">
      <alignment horizontal="center" vertical="center" wrapText="1"/>
    </xf>
    <xf numFmtId="0" fontId="9" fillId="0" borderId="106" xfId="0" applyFont="1" applyFill="1" applyBorder="1" applyAlignment="1">
      <alignment horizontal="center" vertical="center"/>
    </xf>
    <xf numFmtId="0" fontId="9" fillId="0" borderId="44" xfId="0" applyFont="1" applyBorder="1" applyAlignment="1">
      <alignment horizontal="center" vertical="center"/>
    </xf>
    <xf numFmtId="0" fontId="9" fillId="0" borderId="1" xfId="0" applyFont="1" applyBorder="1" applyAlignment="1">
      <alignment horizontal="center" vertical="center"/>
    </xf>
    <xf numFmtId="0" fontId="9" fillId="0" borderId="45" xfId="0" applyFont="1" applyBorder="1" applyAlignment="1">
      <alignment horizontal="center" vertical="center"/>
    </xf>
    <xf numFmtId="0" fontId="9" fillId="0" borderId="44" xfId="0" applyFont="1" applyBorder="1" applyAlignment="1">
      <alignment horizontal="left" vertical="center" wrapText="1"/>
    </xf>
    <xf numFmtId="0" fontId="9" fillId="0" borderId="44" xfId="0" applyFont="1" applyBorder="1" applyAlignment="1">
      <alignment horizontal="left" vertical="center"/>
    </xf>
    <xf numFmtId="0" fontId="9" fillId="0" borderId="85" xfId="0" applyFont="1" applyBorder="1" applyAlignment="1">
      <alignment horizontal="left" vertical="center"/>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0" fillId="0" borderId="58" xfId="0" applyBorder="1" applyAlignment="1">
      <alignment horizontal="center" vertical="center" wrapText="1"/>
    </xf>
    <xf numFmtId="0" fontId="0" fillId="0" borderId="71" xfId="0" applyBorder="1" applyAlignment="1">
      <alignment horizontal="center" vertical="center" wrapText="1"/>
    </xf>
    <xf numFmtId="0" fontId="0" fillId="0" borderId="60" xfId="0" applyBorder="1" applyAlignment="1">
      <alignment horizontal="center" vertical="center" wrapText="1"/>
    </xf>
    <xf numFmtId="0" fontId="0" fillId="0" borderId="72" xfId="0" applyBorder="1" applyAlignment="1">
      <alignment horizontal="center" vertical="center" wrapText="1"/>
    </xf>
    <xf numFmtId="0" fontId="0" fillId="4" borderId="127" xfId="0" applyFill="1"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xf numFmtId="0" fontId="0" fillId="0" borderId="42" xfId="0" applyBorder="1" applyAlignment="1">
      <alignment horizontal="center" vertical="center"/>
    </xf>
    <xf numFmtId="0" fontId="0" fillId="0" borderId="100" xfId="0" applyBorder="1" applyAlignment="1">
      <alignment horizontal="center" vertical="center"/>
    </xf>
    <xf numFmtId="0" fontId="0" fillId="0" borderId="43" xfId="0" applyBorder="1" applyAlignment="1">
      <alignment horizontal="center" vertical="center"/>
    </xf>
    <xf numFmtId="0" fontId="9" fillId="0" borderId="76" xfId="0" applyFont="1" applyBorder="1" applyAlignment="1">
      <alignment vertical="top" wrapText="1"/>
    </xf>
    <xf numFmtId="0" fontId="9" fillId="0" borderId="0" xfId="0" applyFont="1" applyBorder="1" applyAlignment="1">
      <alignment vertical="top" wrapText="1"/>
    </xf>
    <xf numFmtId="0" fontId="9" fillId="0" borderId="105" xfId="0" applyFont="1" applyFill="1" applyBorder="1" applyAlignment="1">
      <alignment horizontal="center" vertical="center"/>
    </xf>
    <xf numFmtId="0" fontId="9" fillId="0" borderId="101" xfId="0" applyFont="1" applyFill="1" applyBorder="1" applyAlignment="1">
      <alignment horizontal="center" vertical="center"/>
    </xf>
    <xf numFmtId="0" fontId="9" fillId="0" borderId="107" xfId="0" applyFont="1" applyFill="1" applyBorder="1" applyAlignment="1">
      <alignment horizontal="center" vertical="center"/>
    </xf>
    <xf numFmtId="0" fontId="9" fillId="0" borderId="115" xfId="0" applyFont="1" applyFill="1" applyBorder="1" applyAlignment="1">
      <alignment horizontal="center" vertical="center"/>
    </xf>
    <xf numFmtId="0" fontId="9" fillId="0" borderId="100" xfId="0" applyFont="1" applyFill="1" applyBorder="1" applyAlignment="1">
      <alignment horizontal="center" vertical="center"/>
    </xf>
    <xf numFmtId="0" fontId="9" fillId="0" borderId="112" xfId="0" applyFont="1" applyFill="1" applyBorder="1" applyAlignment="1">
      <alignment horizontal="center" vertical="center"/>
    </xf>
    <xf numFmtId="0" fontId="16" fillId="0" borderId="104" xfId="0" applyFont="1" applyBorder="1" applyAlignment="1">
      <alignment horizontal="left" vertical="top" wrapText="1"/>
    </xf>
    <xf numFmtId="0" fontId="16" fillId="0" borderId="8" xfId="0" applyFont="1" applyBorder="1" applyAlignment="1">
      <alignment horizontal="left" vertical="top" wrapText="1"/>
    </xf>
    <xf numFmtId="0" fontId="0" fillId="4" borderId="2" xfId="0" applyFill="1" applyBorder="1" applyAlignment="1">
      <alignment horizontal="center" vertical="center"/>
    </xf>
    <xf numFmtId="0" fontId="9" fillId="4" borderId="86"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85" xfId="0" applyFont="1" applyFill="1" applyBorder="1" applyAlignment="1">
      <alignment horizontal="center" vertical="center"/>
    </xf>
    <xf numFmtId="0" fontId="9" fillId="4" borderId="76" xfId="0" applyFont="1" applyFill="1" applyBorder="1" applyAlignment="1">
      <alignment horizontal="center" vertical="center"/>
    </xf>
    <xf numFmtId="0" fontId="9" fillId="4" borderId="108" xfId="0" applyFont="1" applyFill="1" applyBorder="1" applyAlignment="1">
      <alignment horizontal="center" vertical="center"/>
    </xf>
    <xf numFmtId="0" fontId="0" fillId="4" borderId="124" xfId="0" applyFill="1" applyBorder="1" applyAlignment="1">
      <alignment horizontal="center" vertical="center"/>
    </xf>
    <xf numFmtId="0" fontId="0" fillId="4" borderId="63" xfId="0" applyFill="1" applyBorder="1" applyAlignment="1">
      <alignment horizontal="center" vertical="center"/>
    </xf>
    <xf numFmtId="0" fontId="0" fillId="4" borderId="125" xfId="0" applyFill="1" applyBorder="1" applyAlignment="1">
      <alignment horizontal="center" vertical="center"/>
    </xf>
    <xf numFmtId="0" fontId="0" fillId="4" borderId="86" xfId="0" applyFill="1" applyBorder="1" applyAlignment="1">
      <alignment horizontal="center" vertical="center"/>
    </xf>
    <xf numFmtId="0" fontId="0" fillId="4" borderId="44" xfId="0" applyFill="1" applyBorder="1" applyAlignment="1">
      <alignment horizontal="center" vertical="center"/>
    </xf>
    <xf numFmtId="0" fontId="9" fillId="0" borderId="25" xfId="0" applyFont="1" applyBorder="1" applyAlignment="1">
      <alignment vertical="top" wrapText="1"/>
    </xf>
    <xf numFmtId="0" fontId="9" fillId="0" borderId="21" xfId="0" applyFont="1" applyBorder="1" applyAlignment="1">
      <alignment vertical="top" wrapText="1"/>
    </xf>
    <xf numFmtId="0" fontId="9" fillId="0" borderId="39" xfId="0" applyFont="1" applyBorder="1" applyAlignment="1">
      <alignment vertical="top" wrapText="1"/>
    </xf>
    <xf numFmtId="0" fontId="9" fillId="0" borderId="40" xfId="0" applyFont="1" applyBorder="1" applyAlignment="1">
      <alignment vertical="top" wrapText="1"/>
    </xf>
    <xf numFmtId="0" fontId="9" fillId="0" borderId="114" xfId="0" applyFont="1" applyBorder="1" applyAlignment="1">
      <alignment vertical="top" wrapText="1"/>
    </xf>
    <xf numFmtId="0" fontId="9" fillId="0" borderId="111" xfId="0" applyFont="1" applyBorder="1" applyAlignment="1">
      <alignment vertical="top" wrapText="1"/>
    </xf>
    <xf numFmtId="176" fontId="0" fillId="0" borderId="117" xfId="0" applyNumberFormat="1" applyFill="1" applyBorder="1" applyAlignment="1">
      <alignment horizontal="center" vertical="center"/>
    </xf>
    <xf numFmtId="176" fontId="0" fillId="0" borderId="112" xfId="0" applyNumberFormat="1" applyFill="1" applyBorder="1" applyAlignment="1">
      <alignment horizontal="center" vertical="center"/>
    </xf>
    <xf numFmtId="0" fontId="0" fillId="0" borderId="115" xfId="0" applyFill="1" applyBorder="1" applyAlignment="1">
      <alignment horizontal="center" vertical="center"/>
    </xf>
    <xf numFmtId="0" fontId="0" fillId="0" borderId="100" xfId="0" applyFill="1" applyBorder="1" applyAlignment="1">
      <alignment horizontal="center" vertical="center"/>
    </xf>
    <xf numFmtId="0" fontId="0" fillId="0" borderId="8" xfId="0" applyFill="1" applyBorder="1" applyAlignment="1">
      <alignment horizontal="center" vertical="center" wrapText="1"/>
    </xf>
    <xf numFmtId="0" fontId="0" fillId="0" borderId="105" xfId="0" applyFill="1" applyBorder="1" applyAlignment="1">
      <alignment horizontal="center" vertical="center" wrapText="1"/>
    </xf>
    <xf numFmtId="0" fontId="0" fillId="0" borderId="0" xfId="0" applyFill="1" applyBorder="1" applyAlignment="1">
      <alignment horizontal="center" vertical="center" wrapText="1"/>
    </xf>
    <xf numFmtId="0" fontId="0" fillId="0" borderId="101" xfId="0" applyFill="1" applyBorder="1" applyAlignment="1">
      <alignment horizontal="center" vertical="center" wrapText="1"/>
    </xf>
    <xf numFmtId="176" fontId="0" fillId="0" borderId="115" xfId="0" applyNumberFormat="1" applyFill="1" applyBorder="1" applyAlignment="1">
      <alignment horizontal="center" vertical="center"/>
    </xf>
    <xf numFmtId="176" fontId="0" fillId="0" borderId="100" xfId="0" applyNumberFormat="1" applyFill="1" applyBorder="1" applyAlignment="1">
      <alignment horizontal="center" vertical="center"/>
    </xf>
    <xf numFmtId="0" fontId="9" fillId="0" borderId="104" xfId="0" applyFont="1" applyFill="1" applyBorder="1" applyAlignment="1">
      <alignment horizontal="left" vertical="top" wrapText="1"/>
    </xf>
    <xf numFmtId="0" fontId="9" fillId="0" borderId="8" xfId="0" applyFont="1" applyFill="1" applyBorder="1" applyAlignment="1">
      <alignment horizontal="left" vertical="top" wrapText="1"/>
    </xf>
    <xf numFmtId="0" fontId="9" fillId="0" borderId="76" xfId="0" applyFont="1" applyFill="1" applyBorder="1" applyAlignment="1">
      <alignment horizontal="left" vertical="top" wrapText="1"/>
    </xf>
    <xf numFmtId="0" fontId="9" fillId="0" borderId="0" xfId="0" applyFont="1" applyFill="1" applyBorder="1" applyAlignment="1">
      <alignment horizontal="left" vertical="top" wrapText="1"/>
    </xf>
    <xf numFmtId="0" fontId="11" fillId="4" borderId="2" xfId="0" applyFont="1" applyFill="1" applyBorder="1" applyAlignment="1">
      <alignment horizontal="left" vertical="top" wrapText="1"/>
    </xf>
    <xf numFmtId="0" fontId="11" fillId="4" borderId="4" xfId="0" applyFont="1" applyFill="1" applyBorder="1" applyAlignment="1">
      <alignment horizontal="left" vertical="top" wrapText="1"/>
    </xf>
    <xf numFmtId="0" fontId="11" fillId="4" borderId="3" xfId="0" applyFont="1" applyFill="1" applyBorder="1" applyAlignment="1">
      <alignment horizontal="left" vertical="top" wrapText="1"/>
    </xf>
    <xf numFmtId="0" fontId="20" fillId="4" borderId="2" xfId="0" applyFont="1" applyFill="1" applyBorder="1" applyAlignment="1">
      <alignment horizontal="left" vertical="top" wrapText="1"/>
    </xf>
    <xf numFmtId="0" fontId="20" fillId="4" borderId="4" xfId="0" applyFont="1" applyFill="1" applyBorder="1" applyAlignment="1">
      <alignment horizontal="left" vertical="top" wrapText="1"/>
    </xf>
    <xf numFmtId="0" fontId="20" fillId="4" borderId="3" xfId="0" applyFont="1" applyFill="1" applyBorder="1" applyAlignment="1">
      <alignment horizontal="left" vertical="top" wrapText="1"/>
    </xf>
    <xf numFmtId="0" fontId="11" fillId="0" borderId="2" xfId="0" applyFont="1" applyBorder="1" applyAlignment="1">
      <alignment horizontal="left" vertical="top" wrapText="1"/>
    </xf>
    <xf numFmtId="0" fontId="20" fillId="0" borderId="4" xfId="0" applyFont="1" applyBorder="1" applyAlignment="1">
      <alignment horizontal="left" vertical="top"/>
    </xf>
    <xf numFmtId="0" fontId="20" fillId="0" borderId="3" xfId="0" applyFont="1" applyBorder="1" applyAlignment="1">
      <alignment horizontal="left" vertical="top"/>
    </xf>
    <xf numFmtId="0" fontId="20" fillId="0" borderId="2" xfId="0" applyFont="1" applyBorder="1" applyAlignment="1">
      <alignment horizontal="left" vertical="top" wrapText="1"/>
    </xf>
    <xf numFmtId="0" fontId="20" fillId="0" borderId="4" xfId="0" applyFont="1" applyBorder="1" applyAlignment="1">
      <alignment horizontal="left" vertical="top" wrapText="1"/>
    </xf>
    <xf numFmtId="0" fontId="20" fillId="0" borderId="3" xfId="0" applyFont="1" applyBorder="1" applyAlignment="1">
      <alignment horizontal="left" vertical="top" wrapText="1"/>
    </xf>
    <xf numFmtId="0" fontId="0" fillId="0" borderId="44" xfId="0" applyBorder="1" applyAlignment="1">
      <alignment horizontal="center" vertical="center"/>
    </xf>
    <xf numFmtId="0" fontId="0" fillId="0" borderId="1" xfId="0" applyBorder="1" applyAlignment="1">
      <alignment horizontal="center" vertical="center"/>
    </xf>
    <xf numFmtId="0" fontId="0" fillId="0" borderId="45" xfId="0" applyBorder="1" applyAlignment="1">
      <alignment horizontal="center" vertical="center"/>
    </xf>
    <xf numFmtId="0" fontId="0" fillId="0" borderId="44" xfId="0" applyBorder="1" applyAlignment="1">
      <alignment horizontal="center" vertical="center" wrapText="1"/>
    </xf>
    <xf numFmtId="0" fontId="0" fillId="0" borderId="1" xfId="0" applyBorder="1" applyAlignment="1">
      <alignment horizontal="center" vertical="center" wrapText="1"/>
    </xf>
    <xf numFmtId="0" fontId="0" fillId="0" borderId="45" xfId="0" applyBorder="1" applyAlignment="1">
      <alignment horizontal="center" vertical="center" wrapText="1"/>
    </xf>
    <xf numFmtId="0" fontId="0" fillId="0" borderId="2" xfId="0" applyBorder="1" applyAlignment="1">
      <alignment horizontal="center" vertical="center" wrapText="1"/>
    </xf>
    <xf numFmtId="0" fontId="0" fillId="4" borderId="46" xfId="0" applyFill="1" applyBorder="1" applyAlignment="1">
      <alignment horizontal="center" vertical="center"/>
    </xf>
    <xf numFmtId="0" fontId="0" fillId="4" borderId="46" xfId="0" applyFill="1" applyBorder="1" applyAlignment="1">
      <alignment vertical="center"/>
    </xf>
    <xf numFmtId="0" fontId="0" fillId="4" borderId="103" xfId="0" applyFill="1" applyBorder="1" applyAlignment="1">
      <alignment vertical="center"/>
    </xf>
    <xf numFmtId="0" fontId="0" fillId="0" borderId="108" xfId="0" applyBorder="1" applyAlignment="1">
      <alignment horizontal="center" vertical="center"/>
    </xf>
    <xf numFmtId="0" fontId="9" fillId="4" borderId="104" xfId="0" applyFont="1" applyFill="1" applyBorder="1" applyAlignment="1">
      <alignment horizontal="left" vertical="top" wrapText="1"/>
    </xf>
    <xf numFmtId="0" fontId="16" fillId="4" borderId="8" xfId="0" applyFont="1" applyFill="1" applyBorder="1" applyAlignment="1">
      <alignment horizontal="left" vertical="top" wrapText="1"/>
    </xf>
    <xf numFmtId="0" fontId="16" fillId="4" borderId="76" xfId="0" applyFont="1" applyFill="1" applyBorder="1" applyAlignment="1">
      <alignment horizontal="left" vertical="top" wrapText="1"/>
    </xf>
    <xf numFmtId="0" fontId="16" fillId="4" borderId="44" xfId="0" applyFont="1" applyFill="1" applyBorder="1" applyAlignment="1">
      <alignment vertical="top" wrapText="1"/>
    </xf>
    <xf numFmtId="0" fontId="0" fillId="4" borderId="44" xfId="0" applyFill="1" applyBorder="1" applyAlignment="1">
      <alignment vertical="top" wrapText="1"/>
    </xf>
    <xf numFmtId="0" fontId="0" fillId="4" borderId="85" xfId="0" applyFill="1" applyBorder="1" applyAlignment="1">
      <alignment vertical="top" wrapText="1"/>
    </xf>
    <xf numFmtId="0" fontId="0" fillId="4" borderId="45" xfId="0" applyFill="1" applyBorder="1" applyAlignment="1">
      <alignment vertical="top" wrapText="1"/>
    </xf>
    <xf numFmtId="0" fontId="0" fillId="4" borderId="108" xfId="0" applyFill="1" applyBorder="1" applyAlignment="1">
      <alignment vertical="top" wrapText="1"/>
    </xf>
    <xf numFmtId="0" fontId="16" fillId="0" borderId="44" xfId="0" applyFont="1" applyBorder="1" applyAlignment="1">
      <alignment vertical="top" wrapText="1"/>
    </xf>
    <xf numFmtId="0" fontId="16" fillId="0" borderId="85" xfId="0" applyFont="1" applyBorder="1" applyAlignment="1">
      <alignment vertical="top" wrapText="1"/>
    </xf>
    <xf numFmtId="0" fontId="16" fillId="0" borderId="1" xfId="0" applyFont="1" applyBorder="1" applyAlignment="1">
      <alignment vertical="top" wrapText="1"/>
    </xf>
    <xf numFmtId="0" fontId="16" fillId="0" borderId="2" xfId="0" applyFont="1" applyBorder="1" applyAlignment="1">
      <alignment vertical="top" wrapText="1"/>
    </xf>
    <xf numFmtId="0" fontId="16" fillId="0" borderId="45" xfId="0" applyFont="1" applyBorder="1" applyAlignment="1">
      <alignment vertical="top" wrapText="1"/>
    </xf>
    <xf numFmtId="0" fontId="16" fillId="0" borderId="108" xfId="0" applyFont="1" applyBorder="1" applyAlignment="1">
      <alignment vertical="top" wrapText="1"/>
    </xf>
    <xf numFmtId="0" fontId="9" fillId="0" borderId="86" xfId="0" applyFont="1" applyBorder="1" applyAlignment="1">
      <alignment horizontal="center" vertical="center"/>
    </xf>
    <xf numFmtId="0" fontId="9" fillId="0" borderId="3" xfId="0" applyFont="1" applyBorder="1" applyAlignment="1">
      <alignment horizontal="center" vertical="center"/>
    </xf>
    <xf numFmtId="0" fontId="9" fillId="0" borderId="113" xfId="0" applyFont="1" applyBorder="1" applyAlignment="1">
      <alignment horizontal="center" vertical="center"/>
    </xf>
    <xf numFmtId="0" fontId="9" fillId="0" borderId="44" xfId="0" applyFont="1" applyBorder="1" applyAlignment="1">
      <alignment horizontal="center" vertical="center" wrapText="1"/>
    </xf>
    <xf numFmtId="0" fontId="4" fillId="7" borderId="103" xfId="0" applyFont="1" applyFill="1" applyBorder="1" applyAlignment="1">
      <alignment horizontal="center" vertical="center"/>
    </xf>
    <xf numFmtId="0" fontId="4" fillId="7" borderId="110" xfId="0" applyFont="1" applyFill="1" applyBorder="1" applyAlignment="1">
      <alignment horizontal="center" vertical="center"/>
    </xf>
    <xf numFmtId="0" fontId="4" fillId="7" borderId="109" xfId="0" applyFont="1" applyFill="1" applyBorder="1" applyAlignment="1">
      <alignment horizontal="center" vertical="center"/>
    </xf>
    <xf numFmtId="0" fontId="9" fillId="0" borderId="105" xfId="0" applyFont="1" applyBorder="1" applyAlignment="1">
      <alignment horizontal="center" vertical="center"/>
    </xf>
    <xf numFmtId="0" fontId="9" fillId="0" borderId="101" xfId="0" applyFont="1" applyBorder="1" applyAlignment="1">
      <alignment horizontal="center" vertical="center"/>
    </xf>
    <xf numFmtId="0" fontId="9" fillId="0" borderId="107" xfId="0" applyFont="1" applyBorder="1" applyAlignment="1">
      <alignment horizontal="center" vertical="center"/>
    </xf>
    <xf numFmtId="0" fontId="9" fillId="0" borderId="115" xfId="0" applyFont="1" applyBorder="1" applyAlignment="1">
      <alignment horizontal="center" vertical="center"/>
    </xf>
    <xf numFmtId="0" fontId="9" fillId="0" borderId="100" xfId="0" applyFont="1" applyBorder="1" applyAlignment="1">
      <alignment horizontal="center" vertical="center"/>
    </xf>
    <xf numFmtId="0" fontId="9" fillId="0" borderId="112" xfId="0" applyFont="1" applyBorder="1" applyAlignment="1">
      <alignment horizontal="center" vertical="center"/>
    </xf>
    <xf numFmtId="0" fontId="16" fillId="0" borderId="76" xfId="0" applyFont="1" applyBorder="1" applyAlignment="1">
      <alignment horizontal="left" vertical="top" wrapText="1"/>
    </xf>
    <xf numFmtId="0" fontId="16" fillId="0" borderId="0" xfId="0" applyFont="1" applyBorder="1" applyAlignment="1">
      <alignment horizontal="left" vertical="top" wrapText="1"/>
    </xf>
    <xf numFmtId="0" fontId="16" fillId="0" borderId="106" xfId="0" applyFont="1" applyBorder="1" applyAlignment="1">
      <alignment horizontal="left" vertical="top" wrapText="1"/>
    </xf>
    <xf numFmtId="0" fontId="16" fillId="0" borderId="111" xfId="0" applyFont="1" applyBorder="1" applyAlignment="1">
      <alignment horizontal="left" vertical="top" wrapText="1"/>
    </xf>
    <xf numFmtId="0" fontId="0" fillId="0" borderId="61" xfId="0" applyBorder="1" applyAlignment="1">
      <alignment horizontal="center" vertical="center"/>
    </xf>
    <xf numFmtId="0" fontId="0" fillId="0" borderId="11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4" fillId="7" borderId="2"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1" xfId="0" applyFont="1" applyFill="1" applyBorder="1" applyAlignment="1">
      <alignment horizontal="center" vertical="center"/>
    </xf>
    <xf numFmtId="0" fontId="20" fillId="4" borderId="4" xfId="0" applyFont="1" applyFill="1" applyBorder="1" applyAlignment="1">
      <alignment horizontal="left" vertical="top"/>
    </xf>
    <xf numFmtId="0" fontId="20" fillId="4" borderId="3" xfId="0" applyFont="1" applyFill="1" applyBorder="1" applyAlignment="1">
      <alignment horizontal="left" vertical="top"/>
    </xf>
    <xf numFmtId="176" fontId="0" fillId="0" borderId="2" xfId="0" applyNumberFormat="1" applyBorder="1" applyAlignment="1">
      <alignment horizontal="center" vertical="center"/>
    </xf>
    <xf numFmtId="176" fontId="0" fillId="6" borderId="2" xfId="0" applyNumberFormat="1" applyFill="1" applyBorder="1" applyAlignment="1">
      <alignment horizontal="center" vertical="center"/>
    </xf>
    <xf numFmtId="0" fontId="0" fillId="6" borderId="3" xfId="0" applyFill="1" applyBorder="1" applyAlignment="1">
      <alignment horizontal="center" vertical="center"/>
    </xf>
    <xf numFmtId="0" fontId="4" fillId="7" borderId="42" xfId="0" applyFont="1" applyFill="1" applyBorder="1" applyAlignment="1">
      <alignment horizontal="center" vertical="center"/>
    </xf>
    <xf numFmtId="0" fontId="0" fillId="0" borderId="112" xfId="0" applyBorder="1" applyAlignment="1">
      <alignment horizontal="center" vertical="center"/>
    </xf>
    <xf numFmtId="0" fontId="0" fillId="4" borderId="44" xfId="0" applyFill="1" applyBorder="1" applyAlignment="1">
      <alignment horizontal="center" vertical="center" wrapText="1"/>
    </xf>
    <xf numFmtId="0" fontId="0" fillId="4" borderId="113" xfId="0" applyFill="1" applyBorder="1" applyAlignment="1">
      <alignment horizontal="center" vertical="center"/>
    </xf>
    <xf numFmtId="0" fontId="9" fillId="0" borderId="72" xfId="0" applyFont="1" applyBorder="1" applyAlignment="1">
      <alignment horizontal="center" vertical="center"/>
    </xf>
    <xf numFmtId="0" fontId="9" fillId="0" borderId="43" xfId="0" applyFont="1" applyBorder="1" applyAlignment="1">
      <alignment horizontal="center" vertical="center"/>
    </xf>
    <xf numFmtId="0" fontId="0" fillId="0" borderId="85" xfId="0" applyBorder="1" applyAlignment="1">
      <alignment horizontal="center" vertical="center" wrapText="1"/>
    </xf>
    <xf numFmtId="0" fontId="0" fillId="0" borderId="62" xfId="0" applyBorder="1" applyAlignment="1">
      <alignment horizontal="center" vertical="center" wrapText="1"/>
    </xf>
    <xf numFmtId="0" fontId="0" fillId="0" borderId="86" xfId="0" applyBorder="1" applyAlignment="1">
      <alignment horizontal="center" vertical="center" wrapText="1"/>
    </xf>
    <xf numFmtId="0" fontId="16" fillId="4" borderId="104" xfId="0" applyFont="1" applyFill="1" applyBorder="1" applyAlignment="1">
      <alignment horizontal="left" vertical="top" wrapText="1"/>
    </xf>
    <xf numFmtId="0" fontId="0" fillId="0" borderId="106" xfId="0" applyBorder="1" applyAlignment="1">
      <alignment horizontal="center" vertical="center" wrapText="1"/>
    </xf>
    <xf numFmtId="0" fontId="0" fillId="0" borderId="111" xfId="0" applyBorder="1" applyAlignment="1">
      <alignment horizontal="center" vertical="center" wrapText="1"/>
    </xf>
    <xf numFmtId="0" fontId="0" fillId="0" borderId="107" xfId="0" applyBorder="1" applyAlignment="1">
      <alignment horizontal="center" vertical="center" wrapText="1"/>
    </xf>
    <xf numFmtId="0" fontId="0" fillId="0" borderId="112" xfId="0" applyBorder="1" applyAlignment="1">
      <alignment horizontal="center" vertical="center" wrapText="1"/>
    </xf>
    <xf numFmtId="0" fontId="9" fillId="8" borderId="25" xfId="0" applyFont="1" applyFill="1" applyBorder="1" applyAlignment="1">
      <alignment horizontal="center" vertical="top" wrapText="1"/>
    </xf>
    <xf numFmtId="0" fontId="9" fillId="8" borderId="26" xfId="0" applyFont="1" applyFill="1" applyBorder="1" applyAlignment="1">
      <alignment horizontal="center" vertical="top" wrapText="1"/>
    </xf>
    <xf numFmtId="0" fontId="9" fillId="0" borderId="25" xfId="0" applyFont="1" applyBorder="1" applyAlignment="1">
      <alignment horizontal="center" vertical="center" wrapText="1"/>
    </xf>
    <xf numFmtId="0" fontId="9" fillId="0" borderId="21" xfId="0" applyFont="1" applyBorder="1" applyAlignment="1">
      <alignment horizontal="center" vertical="center" wrapText="1"/>
    </xf>
    <xf numFmtId="0" fontId="9" fillId="12" borderId="43" xfId="0" applyFont="1" applyFill="1" applyBorder="1" applyAlignment="1">
      <alignment horizontal="center" vertical="center"/>
    </xf>
    <xf numFmtId="0" fontId="29" fillId="8" borderId="137" xfId="0" applyFont="1" applyFill="1" applyBorder="1" applyAlignment="1">
      <alignment horizontal="center" vertical="center"/>
    </xf>
    <xf numFmtId="0" fontId="29" fillId="8" borderId="101" xfId="0" applyFont="1" applyFill="1" applyBorder="1" applyAlignment="1">
      <alignment horizontal="center" vertical="center"/>
    </xf>
    <xf numFmtId="0" fontId="29" fillId="8" borderId="139" xfId="0" applyFont="1" applyFill="1" applyBorder="1" applyAlignment="1">
      <alignment horizontal="center" vertical="center"/>
    </xf>
    <xf numFmtId="0" fontId="0" fillId="0" borderId="133" xfId="0" applyBorder="1" applyAlignment="1">
      <alignment horizontal="center" vertical="center"/>
    </xf>
    <xf numFmtId="0" fontId="0" fillId="0" borderId="135" xfId="0" applyBorder="1" applyAlignment="1">
      <alignment horizontal="center" vertical="center"/>
    </xf>
    <xf numFmtId="0" fontId="0" fillId="0" borderId="136" xfId="0" applyBorder="1" applyAlignment="1">
      <alignment horizontal="center" vertical="center"/>
    </xf>
    <xf numFmtId="0" fontId="29" fillId="8" borderId="140" xfId="0" applyFont="1" applyFill="1" applyBorder="1" applyAlignment="1">
      <alignment horizontal="center" vertical="center"/>
    </xf>
    <xf numFmtId="0" fontId="29" fillId="8" borderId="3" xfId="0" applyFont="1" applyFill="1" applyBorder="1" applyAlignment="1">
      <alignment horizontal="center" vertical="center"/>
    </xf>
    <xf numFmtId="0" fontId="29" fillId="8" borderId="136" xfId="0" applyFont="1" applyFill="1" applyBorder="1" applyAlignment="1">
      <alignment horizontal="center" vertical="center"/>
    </xf>
    <xf numFmtId="0" fontId="37" fillId="0" borderId="141" xfId="0" applyFont="1" applyBorder="1" applyAlignment="1">
      <alignment horizontal="left" vertical="center"/>
    </xf>
    <xf numFmtId="0" fontId="37" fillId="0" borderId="142" xfId="0" applyFont="1" applyBorder="1" applyAlignment="1">
      <alignment horizontal="left" vertical="center"/>
    </xf>
    <xf numFmtId="0" fontId="37" fillId="0" borderId="137" xfId="0" applyFont="1" applyBorder="1" applyAlignment="1">
      <alignment horizontal="left" vertical="center"/>
    </xf>
    <xf numFmtId="0" fontId="34" fillId="0" borderId="130" xfId="0" applyFont="1" applyBorder="1" applyAlignment="1">
      <alignment vertical="top" wrapText="1"/>
    </xf>
    <xf numFmtId="0" fontId="0" fillId="0" borderId="130" xfId="0" applyBorder="1" applyAlignment="1">
      <alignment vertical="top"/>
    </xf>
    <xf numFmtId="0" fontId="0" fillId="0" borderId="132" xfId="0" applyBorder="1" applyAlignment="1">
      <alignment vertical="top"/>
    </xf>
    <xf numFmtId="0" fontId="16" fillId="0" borderId="130" xfId="0" applyFont="1" applyBorder="1" applyAlignment="1">
      <alignment vertical="top" wrapText="1"/>
    </xf>
    <xf numFmtId="0" fontId="9" fillId="0" borderId="130" xfId="0" applyFont="1" applyBorder="1" applyAlignment="1">
      <alignment vertical="top" wrapText="1"/>
    </xf>
    <xf numFmtId="0" fontId="9" fillId="0" borderId="130" xfId="0" applyFont="1" applyFill="1" applyBorder="1" applyAlignment="1">
      <alignment horizontal="left" vertical="top" wrapText="1"/>
    </xf>
    <xf numFmtId="0" fontId="0" fillId="0" borderId="130" xfId="0" applyFill="1" applyBorder="1" applyAlignment="1">
      <alignment horizontal="left" vertical="top"/>
    </xf>
    <xf numFmtId="0" fontId="0" fillId="0" borderId="132" xfId="0" applyFill="1" applyBorder="1" applyAlignment="1">
      <alignment horizontal="left" vertical="top"/>
    </xf>
    <xf numFmtId="0" fontId="16" fillId="0" borderId="130" xfId="0" applyFont="1" applyBorder="1" applyAlignment="1">
      <alignment horizontal="left" vertical="top" wrapText="1"/>
    </xf>
    <xf numFmtId="0" fontId="0" fillId="0" borderId="130" xfId="0" applyBorder="1" applyAlignment="1">
      <alignment horizontal="left" vertical="top"/>
    </xf>
    <xf numFmtId="0" fontId="34" fillId="0" borderId="130" xfId="0" applyFont="1" applyBorder="1" applyAlignment="1">
      <alignment horizontal="left" vertical="top" wrapText="1"/>
    </xf>
    <xf numFmtId="0" fontId="0" fillId="0" borderId="132" xfId="0" applyBorder="1" applyAlignment="1">
      <alignment horizontal="left" vertical="top"/>
    </xf>
    <xf numFmtId="0" fontId="0" fillId="0" borderId="130" xfId="0" applyFont="1" applyFill="1" applyBorder="1" applyAlignment="1">
      <alignment horizontal="left" vertical="top" wrapText="1"/>
    </xf>
    <xf numFmtId="0" fontId="25" fillId="7" borderId="130" xfId="0" applyFont="1" applyFill="1" applyBorder="1" applyAlignment="1">
      <alignment horizontal="center" vertical="center"/>
    </xf>
    <xf numFmtId="0" fontId="25" fillId="7" borderId="132" xfId="0" applyFont="1" applyFill="1" applyBorder="1" applyAlignment="1">
      <alignment horizontal="center" vertical="center"/>
    </xf>
    <xf numFmtId="0" fontId="9" fillId="0" borderId="130" xfId="0" applyFont="1" applyBorder="1" applyAlignment="1">
      <alignment horizontal="left" vertical="top" wrapText="1"/>
    </xf>
    <xf numFmtId="0" fontId="34" fillId="0" borderId="130" xfId="0" applyFont="1" applyFill="1" applyBorder="1" applyAlignment="1">
      <alignment horizontal="left" vertical="top" wrapText="1"/>
    </xf>
    <xf numFmtId="0" fontId="0" fillId="0" borderId="132" xfId="0" applyFont="1" applyFill="1" applyBorder="1" applyAlignment="1">
      <alignment horizontal="left" vertical="top" wrapText="1"/>
    </xf>
    <xf numFmtId="0" fontId="0" fillId="0" borderId="148" xfId="0" applyFont="1" applyFill="1" applyBorder="1" applyAlignment="1">
      <alignment horizontal="left" vertical="top" wrapText="1"/>
    </xf>
    <xf numFmtId="0" fontId="0" fillId="0" borderId="131" xfId="0" applyFont="1" applyFill="1" applyBorder="1" applyAlignment="1">
      <alignment horizontal="left" vertical="top" wrapText="1"/>
    </xf>
    <xf numFmtId="0" fontId="25" fillId="7" borderId="148"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12" fillId="13" borderId="149" xfId="0" applyFont="1" applyFill="1" applyBorder="1" applyAlignment="1">
      <alignment horizontal="center" vertical="center"/>
    </xf>
    <xf numFmtId="0" fontId="9" fillId="0" borderId="2" xfId="0" applyFont="1" applyBorder="1" applyAlignment="1">
      <alignment horizontal="center" vertical="center"/>
    </xf>
    <xf numFmtId="0" fontId="4" fillId="7" borderId="65" xfId="0" applyFont="1" applyFill="1" applyBorder="1" applyAlignment="1">
      <alignment horizontal="center" vertical="center"/>
    </xf>
    <xf numFmtId="0" fontId="4" fillId="7" borderId="70" xfId="0" applyFont="1" applyFill="1" applyBorder="1" applyAlignment="1">
      <alignment horizontal="center" vertical="center"/>
    </xf>
    <xf numFmtId="0" fontId="4" fillId="7" borderId="66" xfId="0" applyFont="1" applyFill="1" applyBorder="1" applyAlignment="1">
      <alignment horizontal="center" vertical="center"/>
    </xf>
    <xf numFmtId="0" fontId="4" fillId="7" borderId="38" xfId="0" applyFont="1" applyFill="1" applyBorder="1" applyAlignment="1">
      <alignment horizontal="center" vertical="center"/>
    </xf>
    <xf numFmtId="0" fontId="4" fillId="7" borderId="25" xfId="0" applyFont="1" applyFill="1" applyBorder="1" applyAlignment="1">
      <alignment horizontal="center" vertical="center"/>
    </xf>
    <xf numFmtId="0" fontId="4" fillId="7" borderId="67" xfId="0" applyFont="1" applyFill="1" applyBorder="1" applyAlignment="1">
      <alignment horizontal="center" vertical="center"/>
    </xf>
    <xf numFmtId="0" fontId="0" fillId="0" borderId="33" xfId="0" applyBorder="1" applyAlignment="1">
      <alignment horizontal="center" vertical="center"/>
    </xf>
  </cellXfs>
  <cellStyles count="5">
    <cellStyle name="백분율" xfId="4" builtinId="5"/>
    <cellStyle name="표준" xfId="0" builtinId="0"/>
    <cellStyle name="표준 2" xfId="2" xr:uid="{00000000-0005-0000-0000-000002000000}"/>
    <cellStyle name="표준_슬리팅" xfId="3" xr:uid="{00000000-0005-0000-0000-000003000000}"/>
    <cellStyle name="하이퍼링크" xfId="1" builtinId="8"/>
  </cellStyles>
  <dxfs count="1">
    <dxf>
      <font>
        <color rgb="FF9C0006"/>
      </font>
      <fill>
        <patternFill>
          <bgColor rgb="FFFFC7CE"/>
        </patternFill>
      </fill>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266491</xdr:colOff>
      <xdr:row>11</xdr:row>
      <xdr:rowOff>21221</xdr:rowOff>
    </xdr:from>
    <xdr:to>
      <xdr:col>15</xdr:col>
      <xdr:colOff>84955</xdr:colOff>
      <xdr:row>11</xdr:row>
      <xdr:rowOff>313134</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9376873" y="3181280"/>
          <a:ext cx="513229" cy="29191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R38"/>
  <sheetViews>
    <sheetView showGridLines="0" workbookViewId="0">
      <selection activeCell="G23" sqref="G23"/>
    </sheetView>
  </sheetViews>
  <sheetFormatPr defaultRowHeight="16.5"/>
  <cols>
    <col min="1" max="1" width="2.75" customWidth="1"/>
    <col min="4" max="14" width="10.5" customWidth="1"/>
  </cols>
  <sheetData>
    <row r="2" spans="2:14" ht="20.25">
      <c r="B2" s="2" t="s">
        <v>487</v>
      </c>
      <c r="C2" s="18"/>
    </row>
    <row r="3" spans="2:14">
      <c r="B3" s="169" t="s">
        <v>1</v>
      </c>
      <c r="C3" s="165" t="s">
        <v>255</v>
      </c>
      <c r="D3" s="165" t="s">
        <v>248</v>
      </c>
      <c r="E3" s="165" t="s">
        <v>66</v>
      </c>
      <c r="F3" s="165" t="s">
        <v>107</v>
      </c>
      <c r="G3" s="165" t="s">
        <v>249</v>
      </c>
      <c r="H3" s="165" t="s">
        <v>250</v>
      </c>
      <c r="I3" s="165" t="s">
        <v>247</v>
      </c>
      <c r="J3" s="165" t="s">
        <v>251</v>
      </c>
      <c r="K3" s="165" t="s">
        <v>31</v>
      </c>
      <c r="L3" s="165" t="s">
        <v>44</v>
      </c>
      <c r="M3" s="165" t="s">
        <v>252</v>
      </c>
      <c r="N3" s="170" t="s">
        <v>253</v>
      </c>
    </row>
    <row r="4" spans="2:14">
      <c r="B4" s="459" t="s">
        <v>5</v>
      </c>
      <c r="C4" s="158" t="s">
        <v>256</v>
      </c>
      <c r="D4" s="159" t="s">
        <v>311</v>
      </c>
      <c r="E4" s="160" t="s">
        <v>311</v>
      </c>
      <c r="F4" s="160" t="s">
        <v>311</v>
      </c>
      <c r="G4" s="161" t="s">
        <v>342</v>
      </c>
      <c r="H4" s="160" t="s">
        <v>309</v>
      </c>
      <c r="I4" s="160" t="s">
        <v>311</v>
      </c>
      <c r="J4" s="160" t="s">
        <v>311</v>
      </c>
      <c r="K4" s="160" t="s">
        <v>311</v>
      </c>
      <c r="L4" s="160" t="s">
        <v>311</v>
      </c>
      <c r="M4" s="160" t="s">
        <v>261</v>
      </c>
      <c r="N4" s="171" t="s">
        <v>261</v>
      </c>
    </row>
    <row r="5" spans="2:14">
      <c r="B5" s="460"/>
      <c r="C5" s="162" t="s">
        <v>257</v>
      </c>
      <c r="D5" s="163" t="s">
        <v>420</v>
      </c>
      <c r="E5" s="163" t="s">
        <v>420</v>
      </c>
      <c r="F5" s="164" t="s">
        <v>420</v>
      </c>
      <c r="G5" s="164" t="s">
        <v>420</v>
      </c>
      <c r="H5" s="164" t="s">
        <v>421</v>
      </c>
      <c r="I5" s="164" t="s">
        <v>420</v>
      </c>
      <c r="J5" s="164" t="s">
        <v>421</v>
      </c>
      <c r="K5" s="164" t="s">
        <v>421</v>
      </c>
      <c r="L5" s="164" t="s">
        <v>421</v>
      </c>
      <c r="M5" s="164" t="s">
        <v>421</v>
      </c>
      <c r="N5" s="172" t="s">
        <v>223</v>
      </c>
    </row>
    <row r="6" spans="2:14">
      <c r="B6" s="459" t="s">
        <v>7</v>
      </c>
      <c r="C6" s="158" t="s">
        <v>256</v>
      </c>
      <c r="D6" s="159" t="s">
        <v>311</v>
      </c>
      <c r="E6" s="159" t="s">
        <v>311</v>
      </c>
      <c r="F6" s="159" t="s">
        <v>311</v>
      </c>
      <c r="G6" s="160" t="s">
        <v>308</v>
      </c>
      <c r="H6" s="160" t="s">
        <v>309</v>
      </c>
      <c r="I6" s="159" t="s">
        <v>311</v>
      </c>
      <c r="J6" s="159" t="s">
        <v>311</v>
      </c>
      <c r="K6" s="159" t="s">
        <v>311</v>
      </c>
      <c r="L6" s="159" t="s">
        <v>311</v>
      </c>
      <c r="M6" s="160" t="s">
        <v>115</v>
      </c>
      <c r="N6" s="171" t="s">
        <v>115</v>
      </c>
    </row>
    <row r="7" spans="2:14">
      <c r="B7" s="460"/>
      <c r="C7" s="162" t="s">
        <v>257</v>
      </c>
      <c r="D7" s="163" t="s">
        <v>420</v>
      </c>
      <c r="E7" s="163" t="s">
        <v>420</v>
      </c>
      <c r="F7" s="164" t="s">
        <v>421</v>
      </c>
      <c r="G7" s="164" t="s">
        <v>422</v>
      </c>
      <c r="H7" s="164" t="s">
        <v>422</v>
      </c>
      <c r="I7" s="164" t="s">
        <v>420</v>
      </c>
      <c r="J7" s="164" t="s">
        <v>223</v>
      </c>
      <c r="K7" s="164" t="s">
        <v>223</v>
      </c>
      <c r="L7" s="164" t="s">
        <v>223</v>
      </c>
      <c r="M7" s="164" t="s">
        <v>223</v>
      </c>
      <c r="N7" s="172" t="s">
        <v>223</v>
      </c>
    </row>
    <row r="8" spans="2:14">
      <c r="B8" s="459" t="s">
        <v>8</v>
      </c>
      <c r="C8" s="158" t="s">
        <v>256</v>
      </c>
      <c r="D8" s="159" t="s">
        <v>254</v>
      </c>
      <c r="E8" s="159" t="s">
        <v>254</v>
      </c>
      <c r="F8" s="160"/>
      <c r="G8" s="160" t="s">
        <v>84</v>
      </c>
      <c r="H8" s="160" t="s">
        <v>84</v>
      </c>
      <c r="I8" s="160"/>
      <c r="J8" s="160"/>
      <c r="K8" s="160"/>
      <c r="L8" s="160"/>
      <c r="M8" s="160"/>
      <c r="N8" s="171"/>
    </row>
    <row r="9" spans="2:14">
      <c r="B9" s="460"/>
      <c r="C9" s="162" t="s">
        <v>257</v>
      </c>
      <c r="D9" s="164"/>
      <c r="E9" s="164"/>
      <c r="F9" s="164"/>
      <c r="G9" s="164"/>
      <c r="H9" s="164"/>
      <c r="I9" s="164"/>
      <c r="J9" s="164"/>
      <c r="K9" s="164"/>
      <c r="L9" s="164"/>
      <c r="M9" s="164"/>
      <c r="N9" s="172"/>
    </row>
    <row r="10" spans="2:14">
      <c r="B10" s="459" t="s">
        <v>9</v>
      </c>
      <c r="C10" s="158" t="s">
        <v>256</v>
      </c>
      <c r="D10" s="159" t="s">
        <v>311</v>
      </c>
      <c r="E10" s="159" t="s">
        <v>311</v>
      </c>
      <c r="F10" s="159" t="s">
        <v>311</v>
      </c>
      <c r="G10" s="159" t="s">
        <v>311</v>
      </c>
      <c r="H10" s="160" t="s">
        <v>94</v>
      </c>
      <c r="I10" s="159" t="s">
        <v>311</v>
      </c>
      <c r="J10" s="159" t="s">
        <v>311</v>
      </c>
      <c r="K10" s="160" t="s">
        <v>421</v>
      </c>
      <c r="L10" s="160"/>
      <c r="M10" s="160"/>
      <c r="N10" s="171"/>
    </row>
    <row r="11" spans="2:14">
      <c r="B11" s="460"/>
      <c r="C11" s="162" t="s">
        <v>257</v>
      </c>
      <c r="D11" s="164"/>
      <c r="E11" s="164"/>
      <c r="F11" s="164"/>
      <c r="G11" s="164"/>
      <c r="H11" s="164"/>
      <c r="I11" s="164"/>
      <c r="J11" s="164"/>
      <c r="K11" s="164"/>
      <c r="L11" s="164"/>
      <c r="M11" s="164"/>
      <c r="N11" s="172"/>
    </row>
    <row r="12" spans="2:14">
      <c r="B12" s="459" t="s">
        <v>10</v>
      </c>
      <c r="C12" s="166" t="s">
        <v>256</v>
      </c>
      <c r="D12" s="167" t="s">
        <v>311</v>
      </c>
      <c r="E12" s="167" t="s">
        <v>311</v>
      </c>
      <c r="F12" s="167" t="s">
        <v>311</v>
      </c>
      <c r="G12" s="168" t="s">
        <v>84</v>
      </c>
      <c r="H12" s="168" t="s">
        <v>84</v>
      </c>
      <c r="I12" s="167" t="s">
        <v>311</v>
      </c>
      <c r="J12" s="167" t="s">
        <v>311</v>
      </c>
      <c r="K12" s="168"/>
      <c r="L12" s="168"/>
      <c r="M12" s="168" t="s">
        <v>115</v>
      </c>
      <c r="N12" s="173" t="s">
        <v>115</v>
      </c>
    </row>
    <row r="13" spans="2:14">
      <c r="B13" s="460"/>
      <c r="C13" s="162" t="s">
        <v>257</v>
      </c>
      <c r="D13" s="164"/>
      <c r="E13" s="164"/>
      <c r="F13" s="164"/>
      <c r="G13" s="164"/>
      <c r="H13" s="164"/>
      <c r="I13" s="164"/>
      <c r="J13" s="164"/>
      <c r="K13" s="164"/>
      <c r="L13" s="164"/>
      <c r="M13" s="164"/>
      <c r="N13" s="172"/>
    </row>
    <row r="14" spans="2:14">
      <c r="B14" s="459" t="s">
        <v>11</v>
      </c>
      <c r="C14" s="158" t="s">
        <v>256</v>
      </c>
      <c r="D14" s="159" t="s">
        <v>254</v>
      </c>
      <c r="E14" s="159" t="s">
        <v>254</v>
      </c>
      <c r="F14" s="160"/>
      <c r="G14" s="160"/>
      <c r="H14" s="160"/>
      <c r="I14" s="160"/>
      <c r="J14" s="160"/>
      <c r="K14" s="160"/>
      <c r="L14" s="160"/>
      <c r="M14" s="160"/>
      <c r="N14" s="171"/>
    </row>
    <row r="15" spans="2:14">
      <c r="B15" s="460"/>
      <c r="C15" s="162" t="s">
        <v>257</v>
      </c>
      <c r="D15" s="164"/>
      <c r="E15" s="164"/>
      <c r="F15" s="164"/>
      <c r="G15" s="164"/>
      <c r="H15" s="164"/>
      <c r="I15" s="164"/>
      <c r="J15" s="164"/>
      <c r="K15" s="164"/>
      <c r="L15" s="164"/>
      <c r="M15" s="164"/>
      <c r="N15" s="172"/>
    </row>
    <row r="16" spans="2:14">
      <c r="B16" s="459" t="s">
        <v>258</v>
      </c>
      <c r="C16" s="158" t="s">
        <v>259</v>
      </c>
      <c r="D16" s="160"/>
      <c r="E16" s="160"/>
      <c r="F16" s="160"/>
      <c r="G16" s="160"/>
      <c r="H16" s="160"/>
      <c r="I16" s="160"/>
      <c r="J16" s="160"/>
      <c r="K16" s="160"/>
      <c r="L16" s="160"/>
      <c r="M16" s="160"/>
      <c r="N16" s="171"/>
    </row>
    <row r="17" spans="2:18">
      <c r="B17" s="460"/>
      <c r="C17" s="162" t="s">
        <v>260</v>
      </c>
      <c r="D17" s="164"/>
      <c r="E17" s="164"/>
      <c r="F17" s="164"/>
      <c r="G17" s="164"/>
      <c r="H17" s="164"/>
      <c r="I17" s="164"/>
      <c r="J17" s="164"/>
      <c r="K17" s="164"/>
      <c r="L17" s="164"/>
      <c r="M17" s="164"/>
      <c r="N17" s="172"/>
    </row>
    <row r="21" spans="2:18">
      <c r="B21" t="s">
        <v>488</v>
      </c>
      <c r="C21" t="s">
        <v>489</v>
      </c>
    </row>
    <row r="22" spans="2:18" ht="35.1" customHeight="1">
      <c r="B22" s="169" t="s">
        <v>1</v>
      </c>
      <c r="C22" s="165" t="s">
        <v>255</v>
      </c>
      <c r="D22" s="193" t="s">
        <v>248</v>
      </c>
      <c r="E22" s="193" t="s">
        <v>66</v>
      </c>
      <c r="F22" s="193" t="s">
        <v>107</v>
      </c>
      <c r="G22" s="193" t="s">
        <v>249</v>
      </c>
      <c r="H22" s="193" t="s">
        <v>250</v>
      </c>
      <c r="I22" s="193" t="s">
        <v>247</v>
      </c>
      <c r="J22" s="193" t="s">
        <v>251</v>
      </c>
      <c r="K22" s="193" t="s">
        <v>31</v>
      </c>
      <c r="L22" s="193" t="s">
        <v>44</v>
      </c>
      <c r="M22" s="194" t="s">
        <v>515</v>
      </c>
      <c r="N22" s="194" t="s">
        <v>516</v>
      </c>
      <c r="O22" s="195" t="s">
        <v>517</v>
      </c>
      <c r="P22" s="196" t="s">
        <v>518</v>
      </c>
      <c r="Q22" s="196" t="s">
        <v>253</v>
      </c>
      <c r="R22" s="197"/>
    </row>
    <row r="23" spans="2:18" ht="20.100000000000001" customHeight="1">
      <c r="B23" s="190" t="s">
        <v>490</v>
      </c>
      <c r="C23" s="191" t="s">
        <v>491</v>
      </c>
      <c r="D23" s="198" t="s">
        <v>311</v>
      </c>
      <c r="E23" s="198" t="s">
        <v>311</v>
      </c>
      <c r="F23" s="198" t="s">
        <v>311</v>
      </c>
      <c r="G23" s="199" t="s">
        <v>342</v>
      </c>
      <c r="H23" s="198" t="s">
        <v>519</v>
      </c>
      <c r="I23" s="198" t="s">
        <v>311</v>
      </c>
      <c r="J23" s="198" t="s">
        <v>311</v>
      </c>
      <c r="K23" s="198" t="s">
        <v>311</v>
      </c>
      <c r="L23" s="198" t="s">
        <v>311</v>
      </c>
      <c r="M23" s="198" t="s">
        <v>520</v>
      </c>
      <c r="N23" s="198" t="s">
        <v>520</v>
      </c>
      <c r="O23" s="198" t="s">
        <v>520</v>
      </c>
      <c r="P23" s="200" t="s">
        <v>521</v>
      </c>
      <c r="Q23" s="200" t="s">
        <v>261</v>
      </c>
      <c r="R23" s="197"/>
    </row>
    <row r="24" spans="2:18" ht="20.100000000000001" customHeight="1">
      <c r="B24" s="190" t="s">
        <v>498</v>
      </c>
      <c r="C24" s="191" t="s">
        <v>499</v>
      </c>
      <c r="D24" s="198" t="s">
        <v>311</v>
      </c>
      <c r="E24" s="198" t="s">
        <v>311</v>
      </c>
      <c r="F24" s="198" t="s">
        <v>311</v>
      </c>
      <c r="G24" s="199" t="s">
        <v>342</v>
      </c>
      <c r="H24" s="198" t="s">
        <v>519</v>
      </c>
      <c r="I24" s="198" t="s">
        <v>311</v>
      </c>
      <c r="J24" s="198" t="s">
        <v>311</v>
      </c>
      <c r="K24" s="198" t="s">
        <v>311</v>
      </c>
      <c r="L24" s="198"/>
      <c r="M24" s="202">
        <v>45058</v>
      </c>
      <c r="N24" s="202">
        <v>45058</v>
      </c>
      <c r="O24" s="202">
        <v>45058</v>
      </c>
      <c r="P24" s="200"/>
      <c r="Q24" s="200"/>
      <c r="R24" s="197"/>
    </row>
    <row r="25" spans="2:18" ht="20.100000000000001" customHeight="1">
      <c r="B25" s="190" t="s">
        <v>500</v>
      </c>
      <c r="C25" s="191" t="s">
        <v>496</v>
      </c>
      <c r="D25" s="198"/>
      <c r="E25" s="198"/>
      <c r="F25" s="198"/>
      <c r="G25" s="199"/>
      <c r="H25" s="198"/>
      <c r="I25" s="198"/>
      <c r="J25" s="198"/>
      <c r="K25" s="198"/>
      <c r="L25" s="198"/>
      <c r="M25" s="198"/>
      <c r="N25" s="200"/>
      <c r="O25" s="200"/>
      <c r="P25" s="200"/>
      <c r="Q25" s="200"/>
      <c r="R25" s="197"/>
    </row>
    <row r="26" spans="2:18" ht="20.100000000000001" customHeight="1">
      <c r="B26" s="190" t="s">
        <v>492</v>
      </c>
      <c r="C26" s="191" t="s">
        <v>495</v>
      </c>
      <c r="D26" s="198"/>
      <c r="E26" s="198"/>
      <c r="F26" s="198"/>
      <c r="G26" s="199"/>
      <c r="H26" s="198"/>
      <c r="I26" s="198"/>
      <c r="J26" s="198"/>
      <c r="K26" s="198"/>
      <c r="L26" s="198"/>
      <c r="M26" s="198"/>
      <c r="N26" s="200"/>
      <c r="O26" s="200"/>
      <c r="P26" s="200"/>
      <c r="Q26" s="200"/>
      <c r="R26" s="197"/>
    </row>
    <row r="27" spans="2:18" ht="20.100000000000001" customHeight="1">
      <c r="B27" s="190" t="s">
        <v>9</v>
      </c>
      <c r="C27" s="191" t="s">
        <v>501</v>
      </c>
      <c r="D27" s="198"/>
      <c r="E27" s="198"/>
      <c r="F27" s="198"/>
      <c r="G27" s="199"/>
      <c r="H27" s="198"/>
      <c r="I27" s="198"/>
      <c r="J27" s="198"/>
      <c r="K27" s="198"/>
      <c r="L27" s="198"/>
      <c r="M27" s="198"/>
      <c r="N27" s="200"/>
      <c r="O27" s="200"/>
      <c r="P27" s="200"/>
      <c r="Q27" s="200"/>
      <c r="R27" s="197"/>
    </row>
    <row r="28" spans="2:18" ht="20.100000000000001" customHeight="1">
      <c r="B28" s="190" t="s">
        <v>502</v>
      </c>
      <c r="C28" s="191" t="s">
        <v>503</v>
      </c>
      <c r="D28" s="198"/>
      <c r="E28" s="198"/>
      <c r="F28" s="198"/>
      <c r="G28" s="199"/>
      <c r="H28" s="198"/>
      <c r="I28" s="198"/>
      <c r="J28" s="198"/>
      <c r="K28" s="198"/>
      <c r="L28" s="198"/>
      <c r="M28" s="198"/>
      <c r="N28" s="200"/>
      <c r="O28" s="200"/>
      <c r="P28" s="200" t="s">
        <v>529</v>
      </c>
      <c r="Q28" s="200"/>
      <c r="R28" s="197"/>
    </row>
    <row r="29" spans="2:18" ht="20.100000000000001" customHeight="1">
      <c r="B29" s="190" t="s">
        <v>502</v>
      </c>
      <c r="C29" s="191" t="s">
        <v>504</v>
      </c>
      <c r="D29" s="198"/>
      <c r="E29" s="198"/>
      <c r="F29" s="198"/>
      <c r="G29" s="199"/>
      <c r="H29" s="198"/>
      <c r="I29" s="198"/>
      <c r="J29" s="198"/>
      <c r="K29" s="198"/>
      <c r="L29" s="198"/>
      <c r="M29" s="198"/>
      <c r="N29" s="200"/>
      <c r="O29" s="200"/>
      <c r="P29" s="200"/>
      <c r="Q29" s="200"/>
      <c r="R29" s="197"/>
    </row>
    <row r="30" spans="2:18" ht="20.100000000000001" customHeight="1">
      <c r="B30" s="190" t="s">
        <v>493</v>
      </c>
      <c r="C30" s="191" t="s">
        <v>505</v>
      </c>
      <c r="D30" s="198"/>
      <c r="E30" s="198"/>
      <c r="F30" s="198"/>
      <c r="G30" s="199"/>
      <c r="H30" s="198"/>
      <c r="I30" s="198"/>
      <c r="J30" s="198"/>
      <c r="K30" s="198"/>
      <c r="L30" s="198"/>
      <c r="M30" s="198"/>
      <c r="N30" s="200"/>
      <c r="O30" s="200"/>
      <c r="P30" s="200"/>
      <c r="Q30" s="200"/>
      <c r="R30" s="197"/>
    </row>
    <row r="31" spans="2:18" ht="20.100000000000001" customHeight="1">
      <c r="B31" s="190" t="s">
        <v>493</v>
      </c>
      <c r="C31" s="191" t="s">
        <v>506</v>
      </c>
      <c r="D31" s="198"/>
      <c r="E31" s="198"/>
      <c r="F31" s="198"/>
      <c r="G31" s="199"/>
      <c r="H31" s="198"/>
      <c r="I31" s="198"/>
      <c r="J31" s="198"/>
      <c r="K31" s="198"/>
      <c r="L31" s="198"/>
      <c r="M31" s="198"/>
      <c r="N31" s="200"/>
      <c r="O31" s="200"/>
      <c r="P31" s="200"/>
      <c r="Q31" s="200"/>
      <c r="R31" s="197"/>
    </row>
    <row r="32" spans="2:18" ht="20.100000000000001" customHeight="1">
      <c r="B32" s="190" t="s">
        <v>507</v>
      </c>
      <c r="C32" s="191" t="s">
        <v>494</v>
      </c>
      <c r="D32" s="198"/>
      <c r="E32" s="198"/>
      <c r="F32" s="198"/>
      <c r="G32" s="199"/>
      <c r="H32" s="198"/>
      <c r="I32" s="198"/>
      <c r="J32" s="198"/>
      <c r="K32" s="198"/>
      <c r="L32" s="198"/>
      <c r="M32" s="198"/>
      <c r="N32" s="200"/>
      <c r="O32" s="200"/>
      <c r="P32" s="200"/>
      <c r="Q32" s="200"/>
      <c r="R32" s="197"/>
    </row>
    <row r="33" spans="2:18" ht="20.100000000000001" customHeight="1">
      <c r="B33" s="190" t="s">
        <v>508</v>
      </c>
      <c r="C33" s="191" t="s">
        <v>509</v>
      </c>
      <c r="D33" s="198"/>
      <c r="E33" s="198"/>
      <c r="F33" s="198"/>
      <c r="G33" s="199"/>
      <c r="H33" s="198"/>
      <c r="I33" s="198"/>
      <c r="J33" s="198"/>
      <c r="K33" s="198"/>
      <c r="L33" s="198"/>
      <c r="M33" s="198"/>
      <c r="N33" s="200"/>
      <c r="O33" s="200"/>
      <c r="P33" s="200"/>
      <c r="Q33" s="200"/>
      <c r="R33" s="197"/>
    </row>
    <row r="34" spans="2:18" ht="20.100000000000001" customHeight="1">
      <c r="B34" s="190" t="s">
        <v>510</v>
      </c>
      <c r="C34" s="191" t="s">
        <v>511</v>
      </c>
      <c r="D34" s="198"/>
      <c r="E34" s="198"/>
      <c r="F34" s="198"/>
      <c r="G34" s="199"/>
      <c r="H34" s="198"/>
      <c r="I34" s="198"/>
      <c r="J34" s="198"/>
      <c r="K34" s="198"/>
      <c r="L34" s="198"/>
      <c r="M34" s="198"/>
      <c r="N34" s="200"/>
      <c r="O34" s="200"/>
      <c r="P34" s="200"/>
      <c r="Q34" s="200"/>
      <c r="R34" s="197"/>
    </row>
    <row r="35" spans="2:18" ht="20.100000000000001" customHeight="1">
      <c r="B35" s="190" t="s">
        <v>512</v>
      </c>
      <c r="C35" s="191" t="s">
        <v>513</v>
      </c>
      <c r="D35" s="198"/>
      <c r="E35" s="198"/>
      <c r="F35" s="198"/>
      <c r="G35" s="199"/>
      <c r="H35" s="198"/>
      <c r="I35" s="198"/>
      <c r="J35" s="198"/>
      <c r="K35" s="198"/>
      <c r="L35" s="198"/>
      <c r="M35" s="198"/>
      <c r="N35" s="200"/>
      <c r="O35" s="200"/>
      <c r="P35" s="200"/>
      <c r="Q35" s="200"/>
      <c r="R35" s="197"/>
    </row>
    <row r="36" spans="2:18" ht="20.100000000000001" customHeight="1">
      <c r="B36" s="190" t="s">
        <v>510</v>
      </c>
      <c r="C36" s="191" t="s">
        <v>514</v>
      </c>
      <c r="D36" s="198"/>
      <c r="E36" s="198"/>
      <c r="F36" s="198"/>
      <c r="G36" s="199"/>
      <c r="H36" s="198"/>
      <c r="I36" s="198"/>
      <c r="J36" s="198"/>
      <c r="K36" s="198"/>
      <c r="L36" s="198"/>
      <c r="M36" s="198"/>
      <c r="N36" s="200"/>
      <c r="O36" s="200"/>
      <c r="P36" s="200"/>
      <c r="Q36" s="200"/>
      <c r="R36" s="197"/>
    </row>
    <row r="37" spans="2:18">
      <c r="B37" s="190"/>
      <c r="C37" s="191"/>
      <c r="D37" s="198"/>
      <c r="E37" s="198"/>
      <c r="F37" s="198"/>
      <c r="G37" s="199"/>
      <c r="H37" s="198"/>
      <c r="I37" s="198"/>
      <c r="J37" s="198"/>
      <c r="K37" s="198"/>
      <c r="L37" s="198"/>
      <c r="M37" s="198"/>
      <c r="N37" s="200"/>
      <c r="O37" s="200"/>
      <c r="P37" s="200"/>
      <c r="Q37" s="200"/>
      <c r="R37" s="197"/>
    </row>
    <row r="38" spans="2:18">
      <c r="B38" s="192"/>
      <c r="C38" s="192"/>
      <c r="D38" s="201"/>
      <c r="E38" s="201"/>
      <c r="F38" s="201"/>
      <c r="G38" s="201"/>
      <c r="H38" s="201"/>
      <c r="I38" s="201"/>
      <c r="J38" s="201"/>
      <c r="K38" s="201"/>
      <c r="L38" s="201"/>
      <c r="M38" s="201"/>
      <c r="N38" s="201"/>
      <c r="O38" s="201"/>
      <c r="P38" s="201"/>
      <c r="Q38" s="201"/>
      <c r="R38" s="197"/>
    </row>
  </sheetData>
  <mergeCells count="7">
    <mergeCell ref="B16:B17"/>
    <mergeCell ref="B4:B5"/>
    <mergeCell ref="B6:B7"/>
    <mergeCell ref="B8:B9"/>
    <mergeCell ref="B10:B11"/>
    <mergeCell ref="B12:B13"/>
    <mergeCell ref="B14:B1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2:AR162"/>
  <sheetViews>
    <sheetView showGridLines="0" zoomScale="115" zoomScaleNormal="115" zoomScaleSheetLayoutView="85" workbookViewId="0">
      <pane ySplit="2" topLeftCell="A123" activePane="bottomLeft" state="frozen"/>
      <selection pane="bottomLeft" activeCell="B79" sqref="B79:Q130"/>
    </sheetView>
  </sheetViews>
  <sheetFormatPr defaultRowHeight="16.5"/>
  <cols>
    <col min="1" max="1" width="1.625" customWidth="1"/>
    <col min="2" max="2" width="12.625" customWidth="1"/>
    <col min="3" max="3" width="14.25" customWidth="1"/>
    <col min="4" max="10" width="13.875" customWidth="1"/>
    <col min="11" max="11" width="14.75" customWidth="1"/>
    <col min="12" max="13" width="13.75" customWidth="1"/>
    <col min="14" max="14" width="13.875" customWidth="1"/>
    <col min="15" max="16" width="9.375" bestFit="1" customWidth="1"/>
    <col min="17" max="17" width="11.375" customWidth="1"/>
    <col min="18" max="18" width="10.875" customWidth="1"/>
    <col min="19" max="19" width="9.375" bestFit="1" customWidth="1"/>
    <col min="20" max="20" width="11.875" bestFit="1" customWidth="1"/>
    <col min="21" max="24" width="9.375" bestFit="1" customWidth="1"/>
    <col min="25" max="44" width="9.375" style="203" bestFit="1" customWidth="1"/>
  </cols>
  <sheetData>
    <row r="2" spans="2:14" ht="26.25">
      <c r="B2" s="1" t="s">
        <v>468</v>
      </c>
      <c r="C2" s="18"/>
    </row>
    <row r="3" spans="2:14" ht="20.25">
      <c r="B3" s="2" t="s">
        <v>469</v>
      </c>
    </row>
    <row r="4" spans="2:14" ht="24.95" customHeight="1">
      <c r="B4" s="367" t="s">
        <v>271</v>
      </c>
      <c r="C4" s="367" t="s">
        <v>275</v>
      </c>
      <c r="D4" s="367" t="s">
        <v>272</v>
      </c>
      <c r="E4" s="367" t="s">
        <v>273</v>
      </c>
      <c r="F4" s="367" t="s">
        <v>34</v>
      </c>
      <c r="G4" s="367" t="s">
        <v>274</v>
      </c>
      <c r="H4" s="53"/>
    </row>
    <row r="5" spans="2:14" ht="24.95" customHeight="1">
      <c r="B5" s="151" t="s">
        <v>268</v>
      </c>
      <c r="C5" s="54">
        <f>COUNTIF(세부내용!C:C,현황!$B5)</f>
        <v>21</v>
      </c>
      <c r="D5" s="54">
        <f>COUNTIFS(세부내용!$C:$C,현황!$B5,세부내용!$D:$D,"X")</f>
        <v>4</v>
      </c>
      <c r="E5" s="54">
        <f>COUNTIFS(세부내용!$C:$C,현황!$B5,세부내용!$D:$D,"△")</f>
        <v>7</v>
      </c>
      <c r="F5" s="54">
        <f>COUNTIFS(세부내용!$C:$C,현황!$B5,세부내용!$D:$D,"O")</f>
        <v>10</v>
      </c>
      <c r="G5" s="56">
        <f>+F5/C5</f>
        <v>0.47619047619047616</v>
      </c>
      <c r="H5" s="53"/>
    </row>
    <row r="6" spans="2:14" ht="24.95" customHeight="1">
      <c r="B6" s="54" t="s">
        <v>269</v>
      </c>
      <c r="C6" s="54">
        <f>COUNTIF(세부내용!C:C,현황!$B6)</f>
        <v>30</v>
      </c>
      <c r="D6" s="54">
        <f>COUNTIFS(세부내용!$C:$C,현황!$B6,세부내용!$D:$D,"X")</f>
        <v>5</v>
      </c>
      <c r="E6" s="55">
        <f>COUNTIFS(세부내용!$C:$C,현황!$B6,세부내용!$D:$D,"△")</f>
        <v>11</v>
      </c>
      <c r="F6" s="55">
        <f>COUNTIFS(세부내용!$C:$C,현황!$B6,세부내용!$D:$D,"O")</f>
        <v>14</v>
      </c>
      <c r="G6" s="56">
        <f>+F6/C6</f>
        <v>0.46666666666666667</v>
      </c>
      <c r="H6" s="53"/>
    </row>
    <row r="7" spans="2:14" ht="24.95" customHeight="1">
      <c r="B7" s="54" t="s">
        <v>270</v>
      </c>
      <c r="C7" s="54">
        <f>COUNTIF(세부내용!C:C,현황!$B7)</f>
        <v>39</v>
      </c>
      <c r="D7" s="54">
        <f>COUNTIFS(세부내용!$C:$C,현황!$B7,세부내용!$D:$D,"X")</f>
        <v>8</v>
      </c>
      <c r="E7" s="55">
        <f>COUNTIFS(세부내용!$C:$C,현황!$B7,세부내용!$D:$D,"△")</f>
        <v>6</v>
      </c>
      <c r="F7" s="55">
        <f>COUNTIFS(세부내용!$C:$C,현황!$B7,세부내용!$D:$D,"O")</f>
        <v>25</v>
      </c>
      <c r="G7" s="56">
        <f>+F7/C7</f>
        <v>0.64102564102564108</v>
      </c>
      <c r="H7" s="53"/>
      <c r="J7" t="s">
        <v>374</v>
      </c>
    </row>
    <row r="8" spans="2:14" ht="24.95" customHeight="1">
      <c r="B8" s="83" t="s">
        <v>276</v>
      </c>
      <c r="C8" s="83">
        <f>SUM(C5:C7)</f>
        <v>90</v>
      </c>
      <c r="D8" s="83">
        <f>SUM(D5:D7)</f>
        <v>17</v>
      </c>
      <c r="E8" s="83">
        <f>SUM(E5:E7)</f>
        <v>24</v>
      </c>
      <c r="F8" s="83">
        <f>SUM(F5:F7)</f>
        <v>49</v>
      </c>
      <c r="G8" s="84">
        <f>+F8/C8</f>
        <v>0.5444444444444444</v>
      </c>
      <c r="H8" s="53"/>
    </row>
    <row r="9" spans="2:14" ht="24.95" customHeight="1">
      <c r="B9" s="57" t="s">
        <v>277</v>
      </c>
    </row>
    <row r="10" spans="2:14" ht="5.0999999999999996" customHeight="1">
      <c r="B10" s="57"/>
    </row>
    <row r="11" spans="2:14" ht="20.25">
      <c r="B11" s="2" t="s">
        <v>464</v>
      </c>
      <c r="C11" s="37"/>
      <c r="D11" s="53"/>
      <c r="E11" s="53"/>
      <c r="F11" s="53"/>
      <c r="G11" s="53"/>
    </row>
    <row r="12" spans="2:14" ht="24.95" customHeight="1">
      <c r="B12" s="368" t="s">
        <v>1</v>
      </c>
      <c r="C12" s="639" t="s">
        <v>2</v>
      </c>
      <c r="D12" s="641"/>
      <c r="E12" s="639" t="s">
        <v>458</v>
      </c>
      <c r="F12" s="641"/>
      <c r="G12" s="639" t="s">
        <v>459</v>
      </c>
      <c r="H12" s="641"/>
      <c r="I12" s="639" t="s">
        <v>460</v>
      </c>
      <c r="J12" s="640"/>
      <c r="K12" s="640"/>
      <c r="L12" s="640"/>
      <c r="M12" s="640"/>
      <c r="N12" s="641"/>
    </row>
    <row r="13" spans="2:14" ht="24.95" customHeight="1">
      <c r="B13" s="113" t="s">
        <v>5</v>
      </c>
      <c r="C13" s="636" t="s">
        <v>6</v>
      </c>
      <c r="D13" s="638"/>
      <c r="E13" s="636" t="s">
        <v>467</v>
      </c>
      <c r="F13" s="638"/>
      <c r="G13" s="645">
        <v>45059</v>
      </c>
      <c r="H13" s="638"/>
      <c r="I13" s="183" t="s">
        <v>743</v>
      </c>
      <c r="J13" s="184"/>
      <c r="K13" s="184"/>
      <c r="L13" s="184"/>
      <c r="M13" s="184"/>
      <c r="N13" s="185"/>
    </row>
    <row r="14" spans="2:14" ht="24.95" customHeight="1">
      <c r="B14" s="113" t="s">
        <v>7</v>
      </c>
      <c r="C14" s="636" t="s">
        <v>461</v>
      </c>
      <c r="D14" s="638"/>
      <c r="E14" s="636" t="s">
        <v>466</v>
      </c>
      <c r="F14" s="638"/>
      <c r="G14" s="645">
        <v>45059</v>
      </c>
      <c r="H14" s="638"/>
      <c r="I14" s="183" t="s">
        <v>637</v>
      </c>
      <c r="J14" s="184"/>
      <c r="K14" s="184"/>
      <c r="L14" s="184"/>
      <c r="M14" s="184"/>
      <c r="N14" s="185"/>
    </row>
    <row r="15" spans="2:14" ht="24.95" customHeight="1">
      <c r="B15" s="113" t="s">
        <v>8</v>
      </c>
      <c r="C15" s="645" t="s">
        <v>745</v>
      </c>
      <c r="D15" s="638"/>
      <c r="E15" s="645">
        <v>45049</v>
      </c>
      <c r="F15" s="638"/>
      <c r="G15" s="645">
        <v>45078</v>
      </c>
      <c r="H15" s="638"/>
      <c r="I15" s="186" t="s">
        <v>639</v>
      </c>
      <c r="J15" s="184"/>
      <c r="K15" s="184"/>
      <c r="L15" s="184"/>
      <c r="N15" s="185"/>
    </row>
    <row r="16" spans="2:14" ht="24.95" customHeight="1">
      <c r="B16" s="113" t="s">
        <v>963</v>
      </c>
      <c r="C16" s="636" t="s">
        <v>744</v>
      </c>
      <c r="D16" s="638"/>
      <c r="E16" s="636" t="s">
        <v>465</v>
      </c>
      <c r="F16" s="638"/>
      <c r="G16" s="646">
        <v>45096</v>
      </c>
      <c r="H16" s="647"/>
      <c r="I16" s="183" t="s">
        <v>1088</v>
      </c>
      <c r="J16" s="184"/>
      <c r="K16" s="184"/>
      <c r="L16" s="184"/>
      <c r="M16" s="184"/>
      <c r="N16" s="185"/>
    </row>
    <row r="17" spans="2:26" ht="24.95" customHeight="1">
      <c r="B17" s="113" t="s">
        <v>462</v>
      </c>
      <c r="C17" s="645">
        <v>45087</v>
      </c>
      <c r="D17" s="638"/>
      <c r="E17" s="636" t="s">
        <v>465</v>
      </c>
      <c r="F17" s="638"/>
      <c r="G17" s="646">
        <v>45131</v>
      </c>
      <c r="H17" s="647"/>
      <c r="I17" s="254" t="s">
        <v>638</v>
      </c>
      <c r="J17" s="255"/>
      <c r="K17" s="255"/>
      <c r="L17" s="255"/>
      <c r="M17" s="255"/>
      <c r="N17" s="256"/>
    </row>
    <row r="18" spans="2:26" ht="24.95" customHeight="1">
      <c r="B18" s="113" t="s">
        <v>463</v>
      </c>
      <c r="C18" s="645">
        <v>45087</v>
      </c>
      <c r="D18" s="638"/>
      <c r="E18" s="645">
        <v>45078</v>
      </c>
      <c r="F18" s="638"/>
      <c r="G18" s="646">
        <v>45108</v>
      </c>
      <c r="H18" s="647"/>
      <c r="I18" s="257" t="s">
        <v>1089</v>
      </c>
      <c r="J18" s="258"/>
      <c r="K18" s="258"/>
      <c r="L18" s="258"/>
      <c r="M18" s="258"/>
      <c r="N18" s="259"/>
    </row>
    <row r="19" spans="2:26" ht="24.95" customHeight="1">
      <c r="B19" s="113" t="s">
        <v>12</v>
      </c>
      <c r="C19" s="645">
        <v>45082</v>
      </c>
      <c r="D19" s="638"/>
      <c r="E19" s="645">
        <v>45139</v>
      </c>
      <c r="F19" s="638"/>
      <c r="G19" s="646">
        <v>45170</v>
      </c>
      <c r="H19" s="647"/>
      <c r="I19" s="186" t="s">
        <v>958</v>
      </c>
      <c r="J19" s="184"/>
      <c r="K19" s="184"/>
      <c r="L19" s="184"/>
      <c r="M19" s="184"/>
      <c r="N19" s="185"/>
      <c r="O19" s="203"/>
      <c r="P19" s="203"/>
    </row>
    <row r="20" spans="2:26" ht="5.0999999999999996" customHeight="1">
      <c r="B20" s="112"/>
      <c r="C20" s="112"/>
      <c r="D20" s="112"/>
      <c r="E20" s="112"/>
      <c r="F20" s="112"/>
      <c r="G20" s="3"/>
      <c r="H20" s="112"/>
      <c r="I20" s="3"/>
      <c r="J20" s="3"/>
      <c r="K20" s="3"/>
      <c r="L20" s="3"/>
      <c r="T20" t="s">
        <v>613</v>
      </c>
    </row>
    <row r="21" spans="2:26" s="203" customFormat="1" ht="20.25">
      <c r="B21" s="204" t="s">
        <v>1078</v>
      </c>
    </row>
    <row r="22" spans="2:26" s="203" customFormat="1" ht="27.75" customHeight="1">
      <c r="B22" s="401" t="s">
        <v>123</v>
      </c>
      <c r="C22" s="648" t="s">
        <v>15</v>
      </c>
      <c r="D22" s="648"/>
      <c r="E22" s="401" t="s">
        <v>4</v>
      </c>
      <c r="F22" s="341" t="s">
        <v>30</v>
      </c>
      <c r="G22" s="341" t="s">
        <v>397</v>
      </c>
      <c r="H22" s="341" t="s">
        <v>398</v>
      </c>
      <c r="I22" s="341" t="s">
        <v>399</v>
      </c>
      <c r="J22" s="341" t="s">
        <v>758</v>
      </c>
      <c r="K22" s="341" t="s">
        <v>759</v>
      </c>
      <c r="L22" s="341" t="s">
        <v>760</v>
      </c>
      <c r="M22" s="341" t="s">
        <v>761</v>
      </c>
      <c r="N22" s="341" t="s">
        <v>803</v>
      </c>
      <c r="O22" s="341" t="s">
        <v>804</v>
      </c>
      <c r="P22" s="341" t="s">
        <v>805</v>
      </c>
      <c r="Q22" s="341" t="s">
        <v>806</v>
      </c>
      <c r="R22" s="341" t="s">
        <v>807</v>
      </c>
      <c r="S22" s="341" t="s">
        <v>808</v>
      </c>
      <c r="T22" s="341" t="s">
        <v>809</v>
      </c>
      <c r="U22" s="341" t="s">
        <v>810</v>
      </c>
      <c r="V22" s="341" t="s">
        <v>811</v>
      </c>
      <c r="W22" s="341" t="s">
        <v>823</v>
      </c>
      <c r="X22" s="341" t="s">
        <v>824</v>
      </c>
      <c r="Y22" s="341" t="s">
        <v>825</v>
      </c>
      <c r="Z22" s="341" t="s">
        <v>826</v>
      </c>
    </row>
    <row r="23" spans="2:26" s="203" customFormat="1" ht="27.75" customHeight="1">
      <c r="B23" s="667" t="s">
        <v>802</v>
      </c>
      <c r="C23" s="670" t="s">
        <v>695</v>
      </c>
      <c r="D23" s="670"/>
      <c r="E23" s="343"/>
      <c r="F23" s="449" t="s">
        <v>1079</v>
      </c>
      <c r="G23" s="416"/>
      <c r="H23" s="416"/>
      <c r="I23" s="416"/>
      <c r="J23" s="416"/>
      <c r="K23" s="416"/>
      <c r="L23" s="416"/>
      <c r="M23" s="416"/>
      <c r="N23" s="416"/>
      <c r="O23" s="416"/>
      <c r="P23" s="416"/>
      <c r="Q23" s="416"/>
      <c r="R23" s="416"/>
      <c r="S23" s="416"/>
      <c r="T23" s="416"/>
      <c r="U23" s="416"/>
      <c r="V23" s="416"/>
      <c r="W23" s="417"/>
      <c r="X23" s="344"/>
      <c r="Y23" s="344"/>
      <c r="Z23" s="345"/>
    </row>
    <row r="24" spans="2:26" s="203" customFormat="1" ht="27.75" customHeight="1">
      <c r="B24" s="668"/>
      <c r="C24" s="593" t="s">
        <v>797</v>
      </c>
      <c r="D24" s="593"/>
      <c r="E24" s="346"/>
      <c r="F24" s="409" t="s">
        <v>813</v>
      </c>
      <c r="G24" s="448" t="s">
        <v>1025</v>
      </c>
      <c r="H24" s="418"/>
      <c r="I24" s="418"/>
      <c r="J24" s="419"/>
      <c r="K24" s="348"/>
      <c r="L24" s="348"/>
      <c r="M24" s="348"/>
      <c r="N24" s="348"/>
      <c r="O24" s="348"/>
      <c r="P24" s="348"/>
      <c r="Q24" s="348"/>
      <c r="R24" s="348"/>
      <c r="S24" s="348"/>
      <c r="T24" s="348"/>
      <c r="U24" s="348"/>
      <c r="V24" s="349"/>
      <c r="W24" s="348"/>
      <c r="X24" s="348"/>
      <c r="Y24" s="348"/>
      <c r="Z24" s="349"/>
    </row>
    <row r="25" spans="2:26" s="203" customFormat="1" ht="27.75" customHeight="1">
      <c r="B25" s="668"/>
      <c r="C25" s="593" t="s">
        <v>696</v>
      </c>
      <c r="D25" s="593"/>
      <c r="E25" s="346"/>
      <c r="F25" s="409" t="s">
        <v>813</v>
      </c>
      <c r="G25" s="448" t="s">
        <v>1025</v>
      </c>
      <c r="H25" s="418"/>
      <c r="I25" s="418"/>
      <c r="J25" s="419"/>
      <c r="K25" s="348"/>
      <c r="L25" s="348"/>
      <c r="M25" s="348"/>
      <c r="N25" s="347" t="s">
        <v>818</v>
      </c>
      <c r="O25" s="348"/>
      <c r="P25" s="350"/>
      <c r="Q25" s="348"/>
      <c r="R25" s="348"/>
      <c r="S25" s="347" t="s">
        <v>819</v>
      </c>
      <c r="T25" s="348"/>
      <c r="U25" s="348"/>
      <c r="V25" s="349"/>
      <c r="W25" s="347"/>
      <c r="X25" s="348"/>
      <c r="Y25" s="348"/>
      <c r="Z25" s="349"/>
    </row>
    <row r="26" spans="2:26" s="203" customFormat="1" ht="27.75" customHeight="1">
      <c r="B26" s="668"/>
      <c r="C26" s="593" t="s">
        <v>798</v>
      </c>
      <c r="D26" s="593"/>
      <c r="E26" s="346"/>
      <c r="F26" s="409" t="s">
        <v>813</v>
      </c>
      <c r="G26" s="448" t="s">
        <v>1025</v>
      </c>
      <c r="H26" s="346" t="s">
        <v>8</v>
      </c>
      <c r="I26" s="346" t="s">
        <v>8</v>
      </c>
      <c r="J26" s="346" t="s">
        <v>8</v>
      </c>
      <c r="K26" s="348"/>
      <c r="L26" s="348"/>
      <c r="M26" s="348"/>
      <c r="N26" s="347" t="s">
        <v>818</v>
      </c>
      <c r="O26" s="348"/>
      <c r="P26" s="348"/>
      <c r="Q26" s="348"/>
      <c r="R26" s="348"/>
      <c r="S26" s="347" t="s">
        <v>819</v>
      </c>
      <c r="T26" s="348"/>
      <c r="U26" s="348"/>
      <c r="V26" s="349"/>
      <c r="W26" s="347"/>
      <c r="X26" s="348"/>
      <c r="Y26" s="348"/>
      <c r="Z26" s="349"/>
    </row>
    <row r="27" spans="2:26" s="203" customFormat="1" ht="27.75" customHeight="1">
      <c r="B27" s="668"/>
      <c r="C27" s="593" t="s">
        <v>111</v>
      </c>
      <c r="D27" s="593"/>
      <c r="E27" s="346"/>
      <c r="F27" s="409" t="s">
        <v>813</v>
      </c>
      <c r="G27" s="448" t="s">
        <v>1025</v>
      </c>
      <c r="H27" s="346" t="s">
        <v>8</v>
      </c>
      <c r="I27" s="346" t="s">
        <v>8</v>
      </c>
      <c r="J27" s="346" t="s">
        <v>8</v>
      </c>
      <c r="K27" s="348"/>
      <c r="L27" s="348"/>
      <c r="M27" s="348"/>
      <c r="N27" s="348"/>
      <c r="O27" s="347" t="s">
        <v>818</v>
      </c>
      <c r="P27" s="348"/>
      <c r="Q27" s="348"/>
      <c r="R27" s="348"/>
      <c r="S27" s="347" t="s">
        <v>819</v>
      </c>
      <c r="T27" s="348"/>
      <c r="U27" s="348"/>
      <c r="V27" s="349"/>
      <c r="W27" s="347"/>
      <c r="X27" s="348"/>
      <c r="Y27" s="348"/>
      <c r="Z27" s="349"/>
    </row>
    <row r="28" spans="2:26" s="203" customFormat="1" ht="27.75" customHeight="1">
      <c r="B28" s="668"/>
      <c r="C28" s="593" t="s">
        <v>799</v>
      </c>
      <c r="D28" s="593"/>
      <c r="E28" s="346"/>
      <c r="F28" s="409" t="s">
        <v>813</v>
      </c>
      <c r="G28" s="406"/>
      <c r="H28" s="348"/>
      <c r="I28" s="348"/>
      <c r="J28" s="348"/>
      <c r="K28" s="348"/>
      <c r="L28" s="348"/>
      <c r="M28" s="348"/>
      <c r="N28" s="348"/>
      <c r="O28" s="347" t="s">
        <v>818</v>
      </c>
      <c r="P28" s="348"/>
      <c r="Q28" s="348"/>
      <c r="R28" s="348"/>
      <c r="S28" s="347" t="s">
        <v>819</v>
      </c>
      <c r="T28" s="348"/>
      <c r="U28" s="348"/>
      <c r="V28" s="349"/>
      <c r="W28" s="347"/>
      <c r="X28" s="348"/>
      <c r="Y28" s="348"/>
      <c r="Z28" s="349"/>
    </row>
    <row r="29" spans="2:26" s="203" customFormat="1" ht="27.75" customHeight="1">
      <c r="B29" s="668"/>
      <c r="C29" s="593" t="s">
        <v>800</v>
      </c>
      <c r="D29" s="593"/>
      <c r="E29" s="346"/>
      <c r="F29" s="409" t="s">
        <v>813</v>
      </c>
      <c r="G29" s="406"/>
      <c r="H29" s="348"/>
      <c r="I29" s="348"/>
      <c r="J29" s="348"/>
      <c r="K29" s="348"/>
      <c r="L29" s="348"/>
      <c r="M29" s="348"/>
      <c r="N29" s="348"/>
      <c r="O29" s="347" t="s">
        <v>818</v>
      </c>
      <c r="P29" s="348"/>
      <c r="Q29" s="348"/>
      <c r="R29" s="348"/>
      <c r="S29" s="347" t="s">
        <v>819</v>
      </c>
      <c r="T29" s="348"/>
      <c r="U29" s="348"/>
      <c r="V29" s="349"/>
      <c r="W29" s="347"/>
      <c r="X29" s="348"/>
      <c r="Y29" s="348"/>
      <c r="Z29" s="349"/>
    </row>
    <row r="30" spans="2:26" s="203" customFormat="1" ht="27.75" customHeight="1">
      <c r="B30" s="668"/>
      <c r="C30" s="593" t="s">
        <v>801</v>
      </c>
      <c r="D30" s="593"/>
      <c r="E30" s="346"/>
      <c r="F30" s="409" t="s">
        <v>813</v>
      </c>
      <c r="G30" s="406"/>
      <c r="H30" s="348"/>
      <c r="I30" s="348"/>
      <c r="J30" s="348"/>
      <c r="K30" s="348"/>
      <c r="L30" s="348"/>
      <c r="M30" s="348"/>
      <c r="N30" s="347" t="s">
        <v>818</v>
      </c>
      <c r="O30" s="348"/>
      <c r="P30" s="348"/>
      <c r="Q30" s="348"/>
      <c r="R30" s="348"/>
      <c r="S30" s="347" t="s">
        <v>819</v>
      </c>
      <c r="T30" s="348"/>
      <c r="U30" s="348"/>
      <c r="V30" s="349"/>
      <c r="W30" s="347"/>
      <c r="X30" s="348"/>
      <c r="Y30" s="348"/>
      <c r="Z30" s="349"/>
    </row>
    <row r="31" spans="2:26" s="203" customFormat="1" ht="27.75" customHeight="1">
      <c r="B31" s="668"/>
      <c r="C31" s="593" t="s">
        <v>93</v>
      </c>
      <c r="D31" s="593"/>
      <c r="E31" s="346"/>
      <c r="F31" s="348"/>
      <c r="G31" s="348"/>
      <c r="H31" s="348"/>
      <c r="I31" s="346" t="s">
        <v>816</v>
      </c>
      <c r="J31" s="348"/>
      <c r="K31" s="348"/>
      <c r="L31" s="348"/>
      <c r="M31" s="347" t="s">
        <v>1026</v>
      </c>
      <c r="N31" s="348"/>
      <c r="O31" s="348"/>
      <c r="P31" s="348"/>
      <c r="Q31" s="348"/>
      <c r="R31" s="348"/>
      <c r="S31" s="348"/>
      <c r="T31" s="348"/>
      <c r="U31" s="348"/>
      <c r="V31" s="349"/>
      <c r="W31" s="348"/>
      <c r="X31" s="348"/>
      <c r="Y31" s="348"/>
      <c r="Z31" s="349"/>
    </row>
    <row r="32" spans="2:26" s="203" customFormat="1" ht="27.75" customHeight="1">
      <c r="B32" s="669"/>
      <c r="C32" s="671" t="s">
        <v>812</v>
      </c>
      <c r="D32" s="672"/>
      <c r="E32" s="351"/>
      <c r="F32" s="352"/>
      <c r="G32" s="352"/>
      <c r="H32" s="352"/>
      <c r="I32" s="352"/>
      <c r="J32" s="352"/>
      <c r="K32" s="352"/>
      <c r="L32" s="352"/>
      <c r="M32" s="352"/>
      <c r="N32" s="352"/>
      <c r="O32" s="352"/>
      <c r="P32" s="352"/>
      <c r="Q32" s="352"/>
      <c r="R32" s="352"/>
      <c r="S32" s="353" t="s">
        <v>1027</v>
      </c>
      <c r="T32" s="352"/>
      <c r="U32" s="352"/>
      <c r="V32" s="354"/>
      <c r="W32" s="353" t="s">
        <v>827</v>
      </c>
      <c r="X32" s="352"/>
      <c r="Y32" s="352"/>
      <c r="Z32" s="354"/>
    </row>
    <row r="33" spans="2:26" s="203" customFormat="1" ht="27.75" customHeight="1">
      <c r="B33" s="673" t="s">
        <v>747</v>
      </c>
      <c r="C33" s="670" t="s">
        <v>695</v>
      </c>
      <c r="D33" s="670"/>
      <c r="E33" s="343"/>
      <c r="F33" s="676" t="s">
        <v>814</v>
      </c>
      <c r="G33" s="677"/>
      <c r="H33" s="677"/>
      <c r="I33" s="677"/>
      <c r="J33" s="677"/>
      <c r="K33" s="677"/>
      <c r="L33" s="677"/>
      <c r="M33" s="677"/>
      <c r="N33" s="677"/>
      <c r="O33" s="677"/>
      <c r="P33" s="677"/>
      <c r="Q33" s="677"/>
      <c r="R33" s="677"/>
      <c r="S33" s="677"/>
      <c r="T33" s="677"/>
      <c r="U33" s="677"/>
      <c r="V33" s="677"/>
      <c r="W33" s="678"/>
      <c r="X33" s="344"/>
      <c r="Y33" s="344"/>
      <c r="Z33" s="345"/>
    </row>
    <row r="34" spans="2:26" s="203" customFormat="1" ht="27.75" customHeight="1">
      <c r="B34" s="674"/>
      <c r="C34" s="593" t="s">
        <v>797</v>
      </c>
      <c r="D34" s="593"/>
      <c r="E34" s="346"/>
      <c r="F34" s="406"/>
      <c r="G34" s="450" t="s">
        <v>815</v>
      </c>
      <c r="H34" s="420" t="s">
        <v>11</v>
      </c>
      <c r="I34" s="421" t="s">
        <v>1016</v>
      </c>
      <c r="J34" s="422" t="s">
        <v>1016</v>
      </c>
      <c r="K34" s="397" t="s">
        <v>10</v>
      </c>
      <c r="L34" s="397" t="s">
        <v>10</v>
      </c>
      <c r="M34" s="397" t="s">
        <v>10</v>
      </c>
      <c r="N34" s="348"/>
      <c r="O34" s="348"/>
      <c r="P34" s="348"/>
      <c r="Q34" s="348"/>
      <c r="R34" s="348"/>
      <c r="S34" s="348"/>
      <c r="T34" s="348"/>
      <c r="U34" s="348"/>
      <c r="V34" s="349"/>
      <c r="W34" s="348"/>
      <c r="X34" s="348"/>
      <c r="Y34" s="348"/>
      <c r="Z34" s="349"/>
    </row>
    <row r="35" spans="2:26" s="203" customFormat="1" ht="27.75" customHeight="1">
      <c r="B35" s="674"/>
      <c r="C35" s="593" t="s">
        <v>696</v>
      </c>
      <c r="D35" s="593"/>
      <c r="E35" s="346"/>
      <c r="F35" s="406"/>
      <c r="G35" s="450" t="s">
        <v>815</v>
      </c>
      <c r="H35" s="420" t="s">
        <v>11</v>
      </c>
      <c r="I35" s="421" t="s">
        <v>1016</v>
      </c>
      <c r="J35" s="422" t="s">
        <v>1016</v>
      </c>
      <c r="K35" s="397" t="s">
        <v>1017</v>
      </c>
      <c r="L35" s="346" t="s">
        <v>1017</v>
      </c>
      <c r="M35" s="346" t="s">
        <v>1017</v>
      </c>
      <c r="N35" s="348"/>
      <c r="O35" s="348"/>
      <c r="P35" s="348"/>
      <c r="Q35" s="348"/>
      <c r="R35" s="348"/>
      <c r="S35" s="348"/>
      <c r="T35" s="348"/>
      <c r="U35" s="348"/>
      <c r="V35" s="349"/>
      <c r="W35" s="348"/>
      <c r="X35" s="348"/>
      <c r="Y35" s="348"/>
      <c r="Z35" s="349"/>
    </row>
    <row r="36" spans="2:26" s="203" customFormat="1" ht="27.75" customHeight="1">
      <c r="B36" s="674"/>
      <c r="C36" s="593" t="s">
        <v>798</v>
      </c>
      <c r="D36" s="593"/>
      <c r="E36" s="346"/>
      <c r="F36" s="406"/>
      <c r="G36" s="450" t="s">
        <v>815</v>
      </c>
      <c r="H36" s="420" t="s">
        <v>11</v>
      </c>
      <c r="I36" s="421" t="s">
        <v>1016</v>
      </c>
      <c r="J36" s="422" t="s">
        <v>1016</v>
      </c>
      <c r="K36" s="397" t="s">
        <v>1017</v>
      </c>
      <c r="L36" s="346" t="s">
        <v>1017</v>
      </c>
      <c r="M36" s="346" t="s">
        <v>1017</v>
      </c>
      <c r="N36" s="348"/>
      <c r="O36" s="348"/>
      <c r="P36" s="348"/>
      <c r="Q36" s="348"/>
      <c r="R36" s="348"/>
      <c r="S36" s="348"/>
      <c r="T36" s="348"/>
      <c r="U36" s="348"/>
      <c r="V36" s="349"/>
      <c r="W36" s="348"/>
      <c r="X36" s="348"/>
      <c r="Y36" s="348"/>
      <c r="Z36" s="349"/>
    </row>
    <row r="37" spans="2:26" s="203" customFormat="1" ht="27.75" customHeight="1">
      <c r="B37" s="674"/>
      <c r="C37" s="593" t="s">
        <v>111</v>
      </c>
      <c r="D37" s="593"/>
      <c r="E37" s="346"/>
      <c r="F37" s="406"/>
      <c r="G37" s="450" t="s">
        <v>815</v>
      </c>
      <c r="H37" s="420" t="s">
        <v>11</v>
      </c>
      <c r="I37" s="421" t="s">
        <v>1016</v>
      </c>
      <c r="J37" s="422" t="s">
        <v>1016</v>
      </c>
      <c r="K37" s="397" t="s">
        <v>1017</v>
      </c>
      <c r="L37" s="346" t="s">
        <v>1017</v>
      </c>
      <c r="M37" s="346" t="s">
        <v>1017</v>
      </c>
      <c r="N37" s="348"/>
      <c r="O37" s="348"/>
      <c r="P37" s="348"/>
      <c r="Q37" s="348"/>
      <c r="R37" s="348"/>
      <c r="S37" s="348"/>
      <c r="T37" s="348"/>
      <c r="U37" s="348"/>
      <c r="V37" s="349"/>
      <c r="W37" s="348"/>
      <c r="X37" s="348"/>
      <c r="Y37" s="348"/>
      <c r="Z37" s="349"/>
    </row>
    <row r="38" spans="2:26" s="203" customFormat="1" ht="27.75" customHeight="1">
      <c r="B38" s="674"/>
      <c r="C38" s="593" t="s">
        <v>799</v>
      </c>
      <c r="D38" s="593"/>
      <c r="E38" s="346"/>
      <c r="F38" s="406"/>
      <c r="G38" s="406"/>
      <c r="H38" s="413" t="s">
        <v>820</v>
      </c>
      <c r="I38" s="414"/>
      <c r="J38" s="415" t="s">
        <v>821</v>
      </c>
      <c r="K38" s="348"/>
      <c r="L38" s="348"/>
      <c r="M38" s="346" t="s">
        <v>822</v>
      </c>
      <c r="N38" s="348"/>
      <c r="O38" s="348"/>
      <c r="P38" s="348"/>
      <c r="Q38" s="348"/>
      <c r="R38" s="348"/>
      <c r="S38" s="348"/>
      <c r="T38" s="348"/>
      <c r="U38" s="348"/>
      <c r="V38" s="349"/>
      <c r="W38" s="348"/>
      <c r="X38" s="348"/>
      <c r="Y38" s="348"/>
      <c r="Z38" s="349"/>
    </row>
    <row r="39" spans="2:26" s="203" customFormat="1" ht="27.75" customHeight="1">
      <c r="B39" s="674"/>
      <c r="C39" s="593" t="s">
        <v>800</v>
      </c>
      <c r="D39" s="593"/>
      <c r="E39" s="346"/>
      <c r="F39" s="406"/>
      <c r="G39" s="406"/>
      <c r="H39" s="451" t="s">
        <v>820</v>
      </c>
      <c r="I39" s="355"/>
      <c r="J39" s="346" t="s">
        <v>821</v>
      </c>
      <c r="K39" s="348"/>
      <c r="L39" s="348"/>
      <c r="M39" s="346" t="s">
        <v>822</v>
      </c>
      <c r="N39" s="348"/>
      <c r="O39" s="348"/>
      <c r="P39" s="348"/>
      <c r="Q39" s="348"/>
      <c r="R39" s="348"/>
      <c r="S39" s="348"/>
      <c r="T39" s="348"/>
      <c r="U39" s="348"/>
      <c r="V39" s="349"/>
      <c r="W39" s="348"/>
      <c r="X39" s="348"/>
      <c r="Y39" s="348"/>
      <c r="Z39" s="349"/>
    </row>
    <row r="40" spans="2:26" s="203" customFormat="1" ht="27.75" customHeight="1">
      <c r="B40" s="674"/>
      <c r="C40" s="593" t="s">
        <v>801</v>
      </c>
      <c r="D40" s="593"/>
      <c r="E40" s="346"/>
      <c r="F40" s="406"/>
      <c r="G40" s="407"/>
      <c r="H40" s="364" t="s">
        <v>815</v>
      </c>
      <c r="I40" s="346" t="s">
        <v>11</v>
      </c>
      <c r="J40" s="348"/>
      <c r="K40" s="348"/>
      <c r="L40" s="355" t="s">
        <v>10</v>
      </c>
      <c r="M40" s="348"/>
      <c r="N40" s="348"/>
      <c r="O40" s="348"/>
      <c r="P40" s="348"/>
      <c r="Q40" s="348"/>
      <c r="R40" s="348"/>
      <c r="S40" s="348"/>
      <c r="T40" s="348"/>
      <c r="U40" s="348"/>
      <c r="V40" s="349"/>
      <c r="W40" s="348"/>
      <c r="X40" s="348"/>
      <c r="Y40" s="348"/>
      <c r="Z40" s="349"/>
    </row>
    <row r="41" spans="2:26" s="203" customFormat="1" ht="27.75" customHeight="1">
      <c r="B41" s="674"/>
      <c r="C41" s="593" t="s">
        <v>93</v>
      </c>
      <c r="D41" s="593"/>
      <c r="E41" s="346"/>
      <c r="F41" s="406"/>
      <c r="G41" s="406"/>
      <c r="H41" s="348"/>
      <c r="I41" s="346" t="s">
        <v>816</v>
      </c>
      <c r="J41" s="348"/>
      <c r="K41" s="348"/>
      <c r="L41" s="348"/>
      <c r="M41" s="346" t="s">
        <v>816</v>
      </c>
      <c r="N41" s="348"/>
      <c r="O41" s="348"/>
      <c r="P41" s="348"/>
      <c r="Q41" s="348"/>
      <c r="R41" s="348"/>
      <c r="S41" s="346" t="s">
        <v>817</v>
      </c>
      <c r="T41" s="348"/>
      <c r="U41" s="348"/>
      <c r="V41" s="349"/>
      <c r="W41" s="348"/>
      <c r="X41" s="348"/>
      <c r="Y41" s="348"/>
      <c r="Z41" s="349"/>
    </row>
    <row r="42" spans="2:26" s="203" customFormat="1" ht="27.75" customHeight="1">
      <c r="B42" s="675"/>
      <c r="C42" s="671" t="s">
        <v>812</v>
      </c>
      <c r="D42" s="672"/>
      <c r="E42" s="351"/>
      <c r="F42" s="408"/>
      <c r="G42" s="408"/>
      <c r="H42" s="352"/>
      <c r="I42" s="352"/>
      <c r="J42" s="352"/>
      <c r="K42" s="352"/>
      <c r="L42" s="352"/>
      <c r="M42" s="352"/>
      <c r="N42" s="352"/>
      <c r="O42" s="352"/>
      <c r="P42" s="352"/>
      <c r="Q42" s="352"/>
      <c r="R42" s="352"/>
      <c r="S42" s="352"/>
      <c r="T42" s="352"/>
      <c r="U42" s="352"/>
      <c r="V42" s="354"/>
      <c r="W42" s="353" t="s">
        <v>827</v>
      </c>
      <c r="X42" s="352"/>
      <c r="Y42" s="352"/>
      <c r="Z42" s="354"/>
    </row>
    <row r="43" spans="2:26" s="203" customFormat="1" ht="5.0999999999999996" customHeight="1">
      <c r="B43" s="402"/>
      <c r="C43" s="402"/>
      <c r="D43" s="402"/>
      <c r="E43" s="402"/>
      <c r="F43" s="402"/>
      <c r="G43" s="3"/>
      <c r="H43" s="402"/>
      <c r="I43" s="3"/>
      <c r="J43" s="3"/>
      <c r="K43" s="3"/>
      <c r="L43" s="3"/>
    </row>
    <row r="44" spans="2:26" ht="20.25">
      <c r="B44" s="2" t="s">
        <v>1022</v>
      </c>
      <c r="C44" s="18"/>
    </row>
    <row r="45" spans="2:26" ht="24.95" customHeight="1">
      <c r="B45" s="383" t="s">
        <v>1</v>
      </c>
      <c r="C45" s="384" t="s">
        <v>255</v>
      </c>
      <c r="D45" s="384" t="s">
        <v>248</v>
      </c>
      <c r="E45" s="384" t="s">
        <v>66</v>
      </c>
      <c r="F45" s="384" t="s">
        <v>107</v>
      </c>
      <c r="G45" s="384" t="s">
        <v>249</v>
      </c>
      <c r="H45" s="384" t="s">
        <v>250</v>
      </c>
      <c r="I45" s="384" t="s">
        <v>247</v>
      </c>
      <c r="J45" s="384" t="s">
        <v>251</v>
      </c>
      <c r="K45" s="384" t="s">
        <v>31</v>
      </c>
      <c r="L45" s="384" t="s">
        <v>44</v>
      </c>
      <c r="M45" s="384" t="s">
        <v>252</v>
      </c>
      <c r="N45" s="385" t="s">
        <v>253</v>
      </c>
    </row>
    <row r="46" spans="2:26" ht="24.95" customHeight="1">
      <c r="B46" s="459" t="s">
        <v>5</v>
      </c>
      <c r="C46" s="158" t="s">
        <v>256</v>
      </c>
      <c r="D46" s="159" t="s">
        <v>311</v>
      </c>
      <c r="E46" s="160" t="s">
        <v>311</v>
      </c>
      <c r="F46" s="160" t="s">
        <v>311</v>
      </c>
      <c r="G46" s="161" t="s">
        <v>342</v>
      </c>
      <c r="H46" s="160" t="s">
        <v>310</v>
      </c>
      <c r="I46" s="160" t="s">
        <v>311</v>
      </c>
      <c r="J46" s="160" t="s">
        <v>311</v>
      </c>
      <c r="K46" s="160" t="s">
        <v>311</v>
      </c>
      <c r="L46" s="160" t="s">
        <v>311</v>
      </c>
      <c r="M46" s="160" t="s">
        <v>261</v>
      </c>
      <c r="N46" s="171" t="s">
        <v>261</v>
      </c>
      <c r="R46" s="203"/>
    </row>
    <row r="47" spans="2:26" ht="24.95" customHeight="1">
      <c r="B47" s="460"/>
      <c r="C47" s="162" t="s">
        <v>257</v>
      </c>
      <c r="D47" s="163" t="s">
        <v>420</v>
      </c>
      <c r="E47" s="163" t="s">
        <v>420</v>
      </c>
      <c r="F47" s="164" t="s">
        <v>420</v>
      </c>
      <c r="G47" s="164" t="s">
        <v>420</v>
      </c>
      <c r="H47" s="164" t="s">
        <v>420</v>
      </c>
      <c r="I47" s="164" t="s">
        <v>420</v>
      </c>
      <c r="J47" s="164" t="s">
        <v>420</v>
      </c>
      <c r="K47" s="164" t="s">
        <v>420</v>
      </c>
      <c r="L47" s="164" t="s">
        <v>421</v>
      </c>
      <c r="M47" s="164" t="s">
        <v>420</v>
      </c>
      <c r="N47" s="164" t="s">
        <v>421</v>
      </c>
      <c r="Q47" s="203"/>
      <c r="R47" s="203"/>
    </row>
    <row r="48" spans="2:26" ht="24.95" customHeight="1">
      <c r="B48" s="459" t="s">
        <v>7</v>
      </c>
      <c r="C48" s="158" t="s">
        <v>256</v>
      </c>
      <c r="D48" s="159" t="s">
        <v>311</v>
      </c>
      <c r="E48" s="159" t="s">
        <v>311</v>
      </c>
      <c r="F48" s="159" t="s">
        <v>311</v>
      </c>
      <c r="G48" s="160" t="s">
        <v>308</v>
      </c>
      <c r="H48" s="160" t="s">
        <v>309</v>
      </c>
      <c r="I48" s="159" t="s">
        <v>311</v>
      </c>
      <c r="J48" s="159" t="s">
        <v>311</v>
      </c>
      <c r="K48" s="159" t="s">
        <v>311</v>
      </c>
      <c r="L48" s="159" t="s">
        <v>311</v>
      </c>
      <c r="M48" s="160" t="s">
        <v>115</v>
      </c>
      <c r="N48" s="171" t="s">
        <v>115</v>
      </c>
      <c r="Q48" s="203"/>
      <c r="R48" s="203"/>
    </row>
    <row r="49" spans="2:18" ht="24.95" customHeight="1">
      <c r="B49" s="460"/>
      <c r="C49" s="162" t="s">
        <v>257</v>
      </c>
      <c r="D49" s="163" t="s">
        <v>420</v>
      </c>
      <c r="E49" s="163" t="s">
        <v>420</v>
      </c>
      <c r="F49" s="163" t="s">
        <v>420</v>
      </c>
      <c r="G49" s="164" t="s">
        <v>422</v>
      </c>
      <c r="H49" s="164" t="s">
        <v>422</v>
      </c>
      <c r="I49" s="164" t="s">
        <v>420</v>
      </c>
      <c r="J49" s="164" t="s">
        <v>420</v>
      </c>
      <c r="K49" s="164" t="s">
        <v>420</v>
      </c>
      <c r="L49" s="164" t="s">
        <v>420</v>
      </c>
      <c r="M49" s="164" t="s">
        <v>420</v>
      </c>
      <c r="N49" s="172" t="s">
        <v>421</v>
      </c>
      <c r="O49" s="203"/>
      <c r="Q49" s="203"/>
      <c r="R49" s="203"/>
    </row>
    <row r="50" spans="2:18" ht="24.95" customHeight="1">
      <c r="B50" s="459" t="s">
        <v>8</v>
      </c>
      <c r="C50" s="158" t="s">
        <v>256</v>
      </c>
      <c r="D50" s="159" t="s">
        <v>254</v>
      </c>
      <c r="E50" s="159" t="s">
        <v>254</v>
      </c>
      <c r="F50" s="160" t="s">
        <v>84</v>
      </c>
      <c r="G50" s="160" t="s">
        <v>84</v>
      </c>
      <c r="H50" s="160" t="s">
        <v>84</v>
      </c>
      <c r="I50" s="160" t="s">
        <v>84</v>
      </c>
      <c r="J50" s="160" t="s">
        <v>84</v>
      </c>
      <c r="K50" s="160" t="s">
        <v>84</v>
      </c>
      <c r="L50" s="160" t="s">
        <v>84</v>
      </c>
      <c r="M50" s="160" t="s">
        <v>84</v>
      </c>
      <c r="N50" s="160" t="s">
        <v>84</v>
      </c>
      <c r="O50" s="203"/>
      <c r="Q50" s="203"/>
      <c r="R50" s="203"/>
    </row>
    <row r="51" spans="2:18" ht="24.95" customHeight="1">
      <c r="B51" s="460"/>
      <c r="C51" s="162" t="s">
        <v>257</v>
      </c>
      <c r="D51" s="164" t="s">
        <v>421</v>
      </c>
      <c r="E51" s="164" t="s">
        <v>421</v>
      </c>
      <c r="F51" s="164" t="s">
        <v>421</v>
      </c>
      <c r="G51" s="164" t="s">
        <v>675</v>
      </c>
      <c r="H51" s="164"/>
      <c r="I51" s="164" t="s">
        <v>421</v>
      </c>
      <c r="J51" s="164" t="s">
        <v>421</v>
      </c>
      <c r="K51" s="164" t="s">
        <v>421</v>
      </c>
      <c r="L51" s="164"/>
      <c r="M51" s="164" t="s">
        <v>421</v>
      </c>
      <c r="N51" s="172"/>
      <c r="O51" s="203"/>
      <c r="Q51" s="203"/>
      <c r="R51" s="203"/>
    </row>
    <row r="52" spans="2:18" ht="24.95" customHeight="1">
      <c r="B52" s="459" t="s">
        <v>964</v>
      </c>
      <c r="C52" s="158" t="s">
        <v>256</v>
      </c>
      <c r="D52" s="159" t="s">
        <v>311</v>
      </c>
      <c r="E52" s="159" t="s">
        <v>311</v>
      </c>
      <c r="F52" s="159" t="s">
        <v>311</v>
      </c>
      <c r="G52" s="159" t="s">
        <v>311</v>
      </c>
      <c r="H52" s="160" t="s">
        <v>94</v>
      </c>
      <c r="I52" s="159" t="s">
        <v>311</v>
      </c>
      <c r="J52" s="159" t="s">
        <v>311</v>
      </c>
      <c r="K52" s="160" t="s">
        <v>421</v>
      </c>
      <c r="L52" s="160"/>
      <c r="M52" s="160"/>
      <c r="N52" s="171"/>
      <c r="O52" s="203"/>
      <c r="Q52" s="203"/>
      <c r="R52" s="203"/>
    </row>
    <row r="53" spans="2:18" ht="24.95" customHeight="1">
      <c r="B53" s="460"/>
      <c r="C53" s="162" t="s">
        <v>257</v>
      </c>
      <c r="D53" s="163" t="s">
        <v>420</v>
      </c>
      <c r="E53" s="163" t="s">
        <v>420</v>
      </c>
      <c r="F53" s="163" t="s">
        <v>420</v>
      </c>
      <c r="G53" s="164" t="s">
        <v>422</v>
      </c>
      <c r="H53" s="164" t="s">
        <v>422</v>
      </c>
      <c r="I53" s="163" t="s">
        <v>420</v>
      </c>
      <c r="J53" s="164" t="s">
        <v>421</v>
      </c>
      <c r="K53" s="164" t="s">
        <v>421</v>
      </c>
      <c r="L53" s="164"/>
      <c r="M53" s="163" t="s">
        <v>420</v>
      </c>
      <c r="N53" s="172"/>
      <c r="O53" s="203"/>
    </row>
    <row r="54" spans="2:18" ht="24.95" customHeight="1">
      <c r="B54" s="459" t="s">
        <v>10</v>
      </c>
      <c r="C54" s="166" t="s">
        <v>256</v>
      </c>
      <c r="D54" s="167" t="s">
        <v>311</v>
      </c>
      <c r="E54" s="167" t="s">
        <v>311</v>
      </c>
      <c r="F54" s="167" t="s">
        <v>311</v>
      </c>
      <c r="G54" s="168" t="s">
        <v>84</v>
      </c>
      <c r="H54" s="168" t="s">
        <v>84</v>
      </c>
      <c r="I54" s="167" t="s">
        <v>311</v>
      </c>
      <c r="J54" s="167" t="s">
        <v>311</v>
      </c>
      <c r="K54" s="168"/>
      <c r="L54" s="168"/>
      <c r="M54" s="168" t="s">
        <v>115</v>
      </c>
      <c r="N54" s="173" t="s">
        <v>115</v>
      </c>
    </row>
    <row r="55" spans="2:18" ht="24.95" customHeight="1">
      <c r="B55" s="460"/>
      <c r="C55" s="162" t="s">
        <v>257</v>
      </c>
      <c r="D55" s="164" t="s">
        <v>421</v>
      </c>
      <c r="E55" s="164" t="s">
        <v>421</v>
      </c>
      <c r="F55" s="164" t="s">
        <v>421</v>
      </c>
      <c r="G55" s="164" t="s">
        <v>675</v>
      </c>
      <c r="H55" s="164" t="s">
        <v>675</v>
      </c>
      <c r="I55" s="164" t="s">
        <v>421</v>
      </c>
      <c r="J55" s="164" t="s">
        <v>421</v>
      </c>
      <c r="K55" s="164" t="s">
        <v>421</v>
      </c>
      <c r="L55" s="164" t="s">
        <v>421</v>
      </c>
      <c r="M55" s="164" t="s">
        <v>421</v>
      </c>
      <c r="N55" s="172"/>
    </row>
    <row r="56" spans="2:18" ht="24.95" customHeight="1">
      <c r="B56" s="459" t="s">
        <v>11</v>
      </c>
      <c r="C56" s="158" t="s">
        <v>256</v>
      </c>
      <c r="D56" s="159" t="s">
        <v>254</v>
      </c>
      <c r="E56" s="159" t="s">
        <v>254</v>
      </c>
      <c r="F56" s="160" t="s">
        <v>422</v>
      </c>
      <c r="G56" s="160" t="s">
        <v>422</v>
      </c>
      <c r="H56" s="160" t="s">
        <v>422</v>
      </c>
      <c r="I56" s="160" t="s">
        <v>422</v>
      </c>
      <c r="J56" s="160" t="s">
        <v>422</v>
      </c>
      <c r="K56" s="160" t="s">
        <v>422</v>
      </c>
      <c r="L56" s="160" t="s">
        <v>422</v>
      </c>
      <c r="M56" s="160" t="s">
        <v>422</v>
      </c>
      <c r="N56" s="171" t="s">
        <v>422</v>
      </c>
    </row>
    <row r="57" spans="2:18" ht="24.95" customHeight="1">
      <c r="B57" s="460"/>
      <c r="C57" s="162" t="s">
        <v>257</v>
      </c>
      <c r="D57" s="164" t="s">
        <v>421</v>
      </c>
      <c r="E57" s="164" t="s">
        <v>421</v>
      </c>
      <c r="F57" s="164" t="s">
        <v>421</v>
      </c>
      <c r="G57" s="164" t="s">
        <v>422</v>
      </c>
      <c r="H57" s="164" t="s">
        <v>422</v>
      </c>
      <c r="I57" s="164" t="s">
        <v>421</v>
      </c>
      <c r="J57" s="164" t="s">
        <v>421</v>
      </c>
      <c r="K57" s="164" t="s">
        <v>421</v>
      </c>
      <c r="L57" s="164"/>
      <c r="M57" s="164" t="s">
        <v>421</v>
      </c>
      <c r="N57" s="164" t="s">
        <v>421</v>
      </c>
    </row>
    <row r="58" spans="2:18" ht="24.95" customHeight="1">
      <c r="B58" s="459" t="s">
        <v>258</v>
      </c>
      <c r="C58" s="158" t="s">
        <v>259</v>
      </c>
      <c r="D58" s="160"/>
      <c r="E58" s="160"/>
      <c r="F58" s="160"/>
      <c r="G58" s="160"/>
      <c r="H58" s="160"/>
      <c r="I58" s="160"/>
      <c r="J58" s="160"/>
      <c r="K58" s="160"/>
      <c r="L58" s="160"/>
      <c r="M58" s="160"/>
      <c r="N58" s="171"/>
    </row>
    <row r="59" spans="2:18" ht="24.75" customHeight="1">
      <c r="B59" s="460"/>
      <c r="C59" s="162" t="s">
        <v>260</v>
      </c>
      <c r="D59" s="164" t="s">
        <v>421</v>
      </c>
      <c r="E59" s="164" t="s">
        <v>421</v>
      </c>
      <c r="F59" s="164"/>
      <c r="G59" s="164"/>
      <c r="H59" s="164"/>
      <c r="I59" s="164"/>
      <c r="J59" s="164"/>
      <c r="K59" s="164"/>
      <c r="L59" s="164"/>
      <c r="M59" s="164" t="s">
        <v>421</v>
      </c>
      <c r="N59" s="172"/>
    </row>
    <row r="60" spans="2:18" ht="5.0999999999999996" customHeight="1"/>
    <row r="61" spans="2:18" ht="20.25">
      <c r="B61" s="2" t="s">
        <v>1080</v>
      </c>
    </row>
    <row r="62" spans="2:18" ht="24.95" customHeight="1">
      <c r="B62" s="370" t="s">
        <v>13</v>
      </c>
      <c r="C62" s="368" t="s">
        <v>255</v>
      </c>
      <c r="D62" s="642" t="s">
        <v>263</v>
      </c>
      <c r="E62" s="642"/>
      <c r="F62" s="642"/>
      <c r="G62" s="639" t="s">
        <v>264</v>
      </c>
      <c r="H62" s="640"/>
      <c r="I62" s="640"/>
      <c r="J62" s="641"/>
      <c r="K62" s="369" t="s">
        <v>470</v>
      </c>
    </row>
    <row r="63" spans="2:18" ht="58.5" hidden="1" customHeight="1">
      <c r="B63" s="174">
        <v>1</v>
      </c>
      <c r="C63" s="105" t="s">
        <v>262</v>
      </c>
      <c r="D63" s="580" t="s">
        <v>472</v>
      </c>
      <c r="E63" s="643"/>
      <c r="F63" s="644"/>
      <c r="G63" s="583" t="s">
        <v>471</v>
      </c>
      <c r="H63" s="584"/>
      <c r="I63" s="584"/>
      <c r="J63" s="585"/>
      <c r="K63" s="175" t="s">
        <v>377</v>
      </c>
    </row>
    <row r="64" spans="2:18" ht="58.5" hidden="1" customHeight="1">
      <c r="B64" s="114">
        <v>2</v>
      </c>
      <c r="C64" s="115" t="s">
        <v>265</v>
      </c>
      <c r="D64" s="586" t="s">
        <v>473</v>
      </c>
      <c r="E64" s="587"/>
      <c r="F64" s="588"/>
      <c r="G64" s="589" t="s">
        <v>278</v>
      </c>
      <c r="H64" s="590"/>
      <c r="I64" s="590"/>
      <c r="J64" s="591"/>
      <c r="K64" s="227" t="s">
        <v>530</v>
      </c>
    </row>
    <row r="65" spans="2:44" ht="58.5" hidden="1" customHeight="1">
      <c r="B65" s="174">
        <v>3</v>
      </c>
      <c r="C65" s="105" t="s">
        <v>67</v>
      </c>
      <c r="D65" s="580" t="s">
        <v>266</v>
      </c>
      <c r="E65" s="643"/>
      <c r="F65" s="644"/>
      <c r="G65" s="583" t="s">
        <v>387</v>
      </c>
      <c r="H65" s="584"/>
      <c r="I65" s="584"/>
      <c r="J65" s="585"/>
      <c r="K65" s="175" t="s">
        <v>377</v>
      </c>
    </row>
    <row r="66" spans="2:44" ht="58.5" hidden="1" customHeight="1">
      <c r="B66" s="187">
        <v>4</v>
      </c>
      <c r="C66" s="189" t="s">
        <v>312</v>
      </c>
      <c r="D66" s="586" t="s">
        <v>641</v>
      </c>
      <c r="E66" s="587"/>
      <c r="F66" s="588"/>
      <c r="G66" s="589" t="s">
        <v>642</v>
      </c>
      <c r="H66" s="590"/>
      <c r="I66" s="590"/>
      <c r="J66" s="591"/>
      <c r="K66" s="227" t="s">
        <v>380</v>
      </c>
    </row>
    <row r="67" spans="2:44" ht="58.5" hidden="1" customHeight="1">
      <c r="B67" s="174">
        <v>5</v>
      </c>
      <c r="C67" s="105" t="s">
        <v>320</v>
      </c>
      <c r="D67" s="580" t="s">
        <v>321</v>
      </c>
      <c r="E67" s="643"/>
      <c r="F67" s="644"/>
      <c r="G67" s="583" t="s">
        <v>726</v>
      </c>
      <c r="H67" s="584"/>
      <c r="I67" s="584"/>
      <c r="J67" s="585"/>
      <c r="K67" s="175" t="s">
        <v>308</v>
      </c>
    </row>
    <row r="68" spans="2:44" ht="58.5" hidden="1" customHeight="1">
      <c r="B68" s="187">
        <v>6</v>
      </c>
      <c r="C68" s="188" t="s">
        <v>647</v>
      </c>
      <c r="D68" s="586" t="s">
        <v>643</v>
      </c>
      <c r="E68" s="587"/>
      <c r="F68" s="588"/>
      <c r="G68" s="589" t="s">
        <v>333</v>
      </c>
      <c r="H68" s="590"/>
      <c r="I68" s="590"/>
      <c r="J68" s="591"/>
      <c r="K68" s="227" t="s">
        <v>378</v>
      </c>
    </row>
    <row r="69" spans="2:44" ht="58.5" hidden="1" customHeight="1">
      <c r="B69" s="174">
        <v>7</v>
      </c>
      <c r="C69" s="226" t="s">
        <v>646</v>
      </c>
      <c r="D69" s="580" t="s">
        <v>379</v>
      </c>
      <c r="E69" s="643"/>
      <c r="F69" s="644"/>
      <c r="G69" s="583" t="s">
        <v>480</v>
      </c>
      <c r="H69" s="584"/>
      <c r="I69" s="584"/>
      <c r="J69" s="585"/>
      <c r="K69" s="175" t="s">
        <v>112</v>
      </c>
    </row>
    <row r="70" spans="2:44" ht="58.5" hidden="1" customHeight="1">
      <c r="B70" s="187">
        <v>8</v>
      </c>
      <c r="C70" s="188" t="s">
        <v>648</v>
      </c>
      <c r="D70" s="586" t="s">
        <v>381</v>
      </c>
      <c r="E70" s="587"/>
      <c r="F70" s="588"/>
      <c r="G70" s="589" t="s">
        <v>388</v>
      </c>
      <c r="H70" s="590"/>
      <c r="I70" s="590"/>
      <c r="J70" s="591"/>
      <c r="K70" s="227" t="s">
        <v>380</v>
      </c>
    </row>
    <row r="71" spans="2:44" ht="58.5" hidden="1" customHeight="1">
      <c r="B71" s="174">
        <v>9</v>
      </c>
      <c r="C71" s="105" t="s">
        <v>482</v>
      </c>
      <c r="D71" s="580" t="s">
        <v>483</v>
      </c>
      <c r="E71" s="643"/>
      <c r="F71" s="644"/>
      <c r="G71" s="583" t="s">
        <v>653</v>
      </c>
      <c r="H71" s="584"/>
      <c r="I71" s="584"/>
      <c r="J71" s="585"/>
      <c r="K71" s="175" t="s">
        <v>654</v>
      </c>
    </row>
    <row r="72" spans="2:44" s="203" customFormat="1" ht="58.5" hidden="1" customHeight="1">
      <c r="B72" s="187">
        <v>10</v>
      </c>
      <c r="C72" s="189" t="s">
        <v>191</v>
      </c>
      <c r="D72" s="586" t="s">
        <v>644</v>
      </c>
      <c r="E72" s="587"/>
      <c r="F72" s="588"/>
      <c r="G72" s="589" t="s">
        <v>645</v>
      </c>
      <c r="H72" s="590"/>
      <c r="I72" s="590"/>
      <c r="J72" s="591"/>
      <c r="K72" s="176" t="s">
        <v>655</v>
      </c>
    </row>
    <row r="73" spans="2:44" s="203" customFormat="1" ht="58.5" hidden="1" customHeight="1">
      <c r="B73" s="174">
        <v>11</v>
      </c>
      <c r="C73" s="105" t="s">
        <v>258</v>
      </c>
      <c r="D73" s="580" t="s">
        <v>649</v>
      </c>
      <c r="E73" s="581"/>
      <c r="F73" s="582"/>
      <c r="G73" s="583" t="s">
        <v>651</v>
      </c>
      <c r="H73" s="584"/>
      <c r="I73" s="584"/>
      <c r="J73" s="585"/>
      <c r="K73" s="175" t="s">
        <v>650</v>
      </c>
    </row>
    <row r="74" spans="2:44" s="203" customFormat="1" ht="58.5" hidden="1" customHeight="1">
      <c r="B74" s="187">
        <v>12</v>
      </c>
      <c r="C74" s="189" t="s">
        <v>697</v>
      </c>
      <c r="D74" s="586" t="s">
        <v>698</v>
      </c>
      <c r="E74" s="587"/>
      <c r="F74" s="588"/>
      <c r="G74" s="589" t="s">
        <v>699</v>
      </c>
      <c r="H74" s="590"/>
      <c r="I74" s="590"/>
      <c r="J74" s="591"/>
      <c r="K74" s="176" t="s">
        <v>700</v>
      </c>
    </row>
    <row r="75" spans="2:44" s="203" customFormat="1" ht="58.5" hidden="1" customHeight="1">
      <c r="B75" s="174">
        <v>13</v>
      </c>
      <c r="C75" s="226" t="s">
        <v>718</v>
      </c>
      <c r="D75" s="580" t="s">
        <v>719</v>
      </c>
      <c r="E75" s="581"/>
      <c r="F75" s="582"/>
      <c r="G75" s="583" t="s">
        <v>720</v>
      </c>
      <c r="H75" s="584"/>
      <c r="I75" s="584"/>
      <c r="J75" s="585"/>
      <c r="K75" s="175" t="s">
        <v>721</v>
      </c>
    </row>
    <row r="76" spans="2:44" s="203" customFormat="1" ht="58.5" hidden="1" customHeight="1">
      <c r="B76" s="283">
        <v>14</v>
      </c>
      <c r="C76" s="288" t="s">
        <v>722</v>
      </c>
      <c r="D76" s="586" t="s">
        <v>723</v>
      </c>
      <c r="E76" s="587"/>
      <c r="F76" s="588"/>
      <c r="G76" s="589" t="s">
        <v>724</v>
      </c>
      <c r="H76" s="590"/>
      <c r="I76" s="590"/>
      <c r="J76" s="591"/>
      <c r="K76" s="176" t="s">
        <v>725</v>
      </c>
    </row>
    <row r="77" spans="2:44" s="203" customFormat="1" ht="58.5" hidden="1" customHeight="1">
      <c r="B77" s="174">
        <v>15</v>
      </c>
      <c r="C77" s="226" t="s">
        <v>740</v>
      </c>
      <c r="D77" s="580" t="s">
        <v>741</v>
      </c>
      <c r="E77" s="581"/>
      <c r="F77" s="582"/>
      <c r="G77" s="583" t="s">
        <v>767</v>
      </c>
      <c r="H77" s="584"/>
      <c r="I77" s="584"/>
      <c r="J77" s="585"/>
      <c r="K77" s="175" t="s">
        <v>742</v>
      </c>
    </row>
    <row r="78" spans="2:44" s="203" customFormat="1" ht="5.0999999999999996" customHeight="1">
      <c r="B78" s="287"/>
      <c r="C78" s="301"/>
      <c r="D78" s="297"/>
      <c r="E78" s="298"/>
      <c r="F78" s="298"/>
      <c r="G78" s="299"/>
      <c r="H78" s="299"/>
      <c r="I78" s="299"/>
      <c r="J78" s="299"/>
      <c r="K78" s="300"/>
    </row>
    <row r="79" spans="2:44" s="203" customFormat="1" ht="20.25">
      <c r="B79" s="204" t="s">
        <v>640</v>
      </c>
    </row>
    <row r="80" spans="2:44">
      <c r="B80" s="386" t="s">
        <v>593</v>
      </c>
      <c r="C80" s="386" t="s">
        <v>594</v>
      </c>
      <c r="D80" s="386" t="s">
        <v>527</v>
      </c>
      <c r="E80" s="386" t="s">
        <v>595</v>
      </c>
      <c r="F80" s="621" t="s">
        <v>596</v>
      </c>
      <c r="G80" s="622"/>
      <c r="H80" s="622"/>
      <c r="I80" s="623"/>
      <c r="J80" s="386" t="s">
        <v>597</v>
      </c>
      <c r="K80" s="386" t="s">
        <v>598</v>
      </c>
      <c r="L80" s="621" t="s">
        <v>599</v>
      </c>
      <c r="M80" s="622"/>
      <c r="N80" s="622"/>
      <c r="O80" s="622"/>
      <c r="P80" s="622"/>
      <c r="Q80" s="623"/>
      <c r="X80" s="203"/>
      <c r="AR80"/>
    </row>
    <row r="81" spans="1:44">
      <c r="B81" s="624">
        <v>1</v>
      </c>
      <c r="C81" s="627" t="s">
        <v>533</v>
      </c>
      <c r="D81" s="627" t="s">
        <v>45</v>
      </c>
      <c r="E81" s="180" t="s">
        <v>534</v>
      </c>
      <c r="F81" s="595" t="s">
        <v>607</v>
      </c>
      <c r="G81" s="595"/>
      <c r="H81" s="595"/>
      <c r="I81" s="595"/>
      <c r="J81" s="180" t="s">
        <v>528</v>
      </c>
      <c r="K81" s="212" t="s">
        <v>535</v>
      </c>
      <c r="L81" s="547" t="s">
        <v>707</v>
      </c>
      <c r="M81" s="548"/>
      <c r="N81" s="548"/>
      <c r="O81" s="548"/>
      <c r="P81" s="548"/>
      <c r="Q81" s="548"/>
      <c r="X81" s="203"/>
      <c r="AR81"/>
    </row>
    <row r="82" spans="1:44">
      <c r="B82" s="625"/>
      <c r="C82" s="628"/>
      <c r="D82" s="628"/>
      <c r="E82" s="593" t="s">
        <v>536</v>
      </c>
      <c r="F82" s="593" t="s">
        <v>537</v>
      </c>
      <c r="G82" s="593"/>
      <c r="H82" s="593"/>
      <c r="I82" s="593"/>
      <c r="J82" s="205" t="s">
        <v>420</v>
      </c>
      <c r="K82" s="25">
        <v>45057</v>
      </c>
      <c r="L82" s="630"/>
      <c r="M82" s="631"/>
      <c r="N82" s="631"/>
      <c r="O82" s="631"/>
      <c r="P82" s="631"/>
      <c r="Q82" s="631"/>
      <c r="X82" s="203"/>
      <c r="AR82"/>
    </row>
    <row r="83" spans="1:44">
      <c r="B83" s="625"/>
      <c r="C83" s="628"/>
      <c r="D83" s="628"/>
      <c r="E83" s="593"/>
      <c r="F83" s="593" t="s">
        <v>608</v>
      </c>
      <c r="G83" s="593"/>
      <c r="H83" s="593"/>
      <c r="I83" s="593"/>
      <c r="J83" s="205" t="s">
        <v>420</v>
      </c>
      <c r="K83" s="25">
        <v>45057</v>
      </c>
      <c r="L83" s="630"/>
      <c r="M83" s="631"/>
      <c r="N83" s="631"/>
      <c r="O83" s="631"/>
      <c r="P83" s="631"/>
      <c r="Q83" s="631"/>
      <c r="X83" s="203"/>
      <c r="AR83"/>
    </row>
    <row r="84" spans="1:44" s="203" customFormat="1">
      <c r="B84" s="625"/>
      <c r="C84" s="628"/>
      <c r="D84" s="628"/>
      <c r="E84" s="182" t="s">
        <v>609</v>
      </c>
      <c r="F84" s="636" t="s">
        <v>610</v>
      </c>
      <c r="G84" s="637"/>
      <c r="H84" s="637"/>
      <c r="I84" s="638"/>
      <c r="J84" s="205" t="s">
        <v>538</v>
      </c>
      <c r="K84" s="25">
        <v>45094</v>
      </c>
      <c r="L84" s="630"/>
      <c r="M84" s="631"/>
      <c r="N84" s="631"/>
      <c r="O84" s="631"/>
      <c r="P84" s="631"/>
      <c r="Q84" s="631"/>
    </row>
    <row r="85" spans="1:44">
      <c r="B85" s="626"/>
      <c r="C85" s="629"/>
      <c r="D85" s="629"/>
      <c r="E85" s="181" t="s">
        <v>539</v>
      </c>
      <c r="F85" s="602" t="s">
        <v>796</v>
      </c>
      <c r="G85" s="634"/>
      <c r="H85" s="634"/>
      <c r="I85" s="635"/>
      <c r="J85" s="387" t="s">
        <v>420</v>
      </c>
      <c r="K85" s="25">
        <v>45090</v>
      </c>
      <c r="L85" s="632"/>
      <c r="M85" s="633"/>
      <c r="N85" s="633"/>
      <c r="O85" s="633"/>
      <c r="P85" s="633"/>
      <c r="Q85" s="633"/>
      <c r="X85" s="203"/>
      <c r="AR85"/>
    </row>
    <row r="86" spans="1:44">
      <c r="B86" s="550">
        <v>2</v>
      </c>
      <c r="C86" s="551" t="s">
        <v>540</v>
      </c>
      <c r="D86" s="551" t="s">
        <v>541</v>
      </c>
      <c r="E86" s="215" t="s">
        <v>542</v>
      </c>
      <c r="F86" s="650" t="s">
        <v>543</v>
      </c>
      <c r="G86" s="650"/>
      <c r="H86" s="650"/>
      <c r="I86" s="650"/>
      <c r="J86" s="215" t="s">
        <v>420</v>
      </c>
      <c r="K86" s="216">
        <v>45059</v>
      </c>
      <c r="L86" s="606" t="s">
        <v>674</v>
      </c>
      <c r="M86" s="607"/>
      <c r="N86" s="607"/>
      <c r="O86" s="607"/>
      <c r="P86" s="607"/>
      <c r="Q86" s="608"/>
      <c r="X86" s="203"/>
      <c r="AR86"/>
    </row>
    <row r="87" spans="1:44">
      <c r="B87" s="475"/>
      <c r="C87" s="478"/>
      <c r="D87" s="478"/>
      <c r="E87" s="217" t="s">
        <v>544</v>
      </c>
      <c r="F87" s="490" t="s">
        <v>545</v>
      </c>
      <c r="G87" s="463"/>
      <c r="H87" s="463"/>
      <c r="I87" s="463"/>
      <c r="J87" s="217" t="s">
        <v>420</v>
      </c>
      <c r="K87" s="218">
        <v>45057</v>
      </c>
      <c r="L87" s="609"/>
      <c r="M87" s="609"/>
      <c r="N87" s="609"/>
      <c r="O87" s="609"/>
      <c r="P87" s="609"/>
      <c r="Q87" s="610"/>
      <c r="X87" s="203"/>
      <c r="AR87"/>
    </row>
    <row r="88" spans="1:44">
      <c r="B88" s="617">
        <v>3</v>
      </c>
      <c r="C88" s="517" t="s">
        <v>546</v>
      </c>
      <c r="D88" s="620" t="s">
        <v>592</v>
      </c>
      <c r="E88" s="592" t="s">
        <v>547</v>
      </c>
      <c r="F88" s="595" t="s">
        <v>548</v>
      </c>
      <c r="G88" s="595"/>
      <c r="H88" s="595"/>
      <c r="I88" s="595"/>
      <c r="J88" s="180" t="s">
        <v>420</v>
      </c>
      <c r="K88" s="213">
        <v>45055</v>
      </c>
      <c r="L88" s="611" t="s">
        <v>612</v>
      </c>
      <c r="M88" s="611"/>
      <c r="N88" s="611"/>
      <c r="O88" s="611"/>
      <c r="P88" s="611"/>
      <c r="Q88" s="612"/>
      <c r="X88" s="203"/>
      <c r="AR88"/>
    </row>
    <row r="89" spans="1:44">
      <c r="B89" s="618"/>
      <c r="C89" s="518"/>
      <c r="D89" s="518"/>
      <c r="E89" s="593"/>
      <c r="F89" s="596" t="s">
        <v>600</v>
      </c>
      <c r="G89" s="593"/>
      <c r="H89" s="593"/>
      <c r="I89" s="593"/>
      <c r="J89" s="205" t="s">
        <v>420</v>
      </c>
      <c r="K89" s="210">
        <v>45059</v>
      </c>
      <c r="L89" s="613"/>
      <c r="M89" s="613"/>
      <c r="N89" s="613"/>
      <c r="O89" s="613"/>
      <c r="P89" s="613"/>
      <c r="Q89" s="614"/>
      <c r="X89" s="203"/>
      <c r="AR89"/>
    </row>
    <row r="90" spans="1:44">
      <c r="B90" s="619"/>
      <c r="C90" s="519"/>
      <c r="D90" s="519"/>
      <c r="E90" s="181" t="s">
        <v>550</v>
      </c>
      <c r="F90" s="597" t="s">
        <v>551</v>
      </c>
      <c r="G90" s="594"/>
      <c r="H90" s="594"/>
      <c r="I90" s="594"/>
      <c r="J90" s="393" t="s">
        <v>420</v>
      </c>
      <c r="K90" s="214">
        <v>45070</v>
      </c>
      <c r="L90" s="615"/>
      <c r="M90" s="615"/>
      <c r="N90" s="615"/>
      <c r="O90" s="615"/>
      <c r="P90" s="615"/>
      <c r="Q90" s="616"/>
      <c r="X90" s="203"/>
      <c r="AR90"/>
    </row>
    <row r="91" spans="1:44">
      <c r="B91" s="219">
        <v>4</v>
      </c>
      <c r="C91" s="220" t="s">
        <v>552</v>
      </c>
      <c r="D91" s="220" t="s">
        <v>553</v>
      </c>
      <c r="E91" s="221" t="s">
        <v>554</v>
      </c>
      <c r="F91" s="599" t="s">
        <v>555</v>
      </c>
      <c r="G91" s="599"/>
      <c r="H91" s="599"/>
      <c r="I91" s="599"/>
      <c r="J91" s="221" t="s">
        <v>556</v>
      </c>
      <c r="K91" s="222" t="s">
        <v>557</v>
      </c>
      <c r="L91" s="600" t="s">
        <v>611</v>
      </c>
      <c r="M91" s="600"/>
      <c r="N91" s="600"/>
      <c r="O91" s="600"/>
      <c r="P91" s="600"/>
      <c r="Q91" s="601"/>
      <c r="X91" s="203"/>
      <c r="AR91"/>
    </row>
    <row r="92" spans="1:44">
      <c r="A92" s="209"/>
      <c r="B92" s="617">
        <v>5</v>
      </c>
      <c r="C92" s="517" t="s">
        <v>558</v>
      </c>
      <c r="D92" s="517" t="s">
        <v>559</v>
      </c>
      <c r="E92" s="592" t="s">
        <v>560</v>
      </c>
      <c r="F92" s="595" t="s">
        <v>561</v>
      </c>
      <c r="G92" s="595"/>
      <c r="H92" s="595"/>
      <c r="I92" s="595"/>
      <c r="J92" s="592" t="s">
        <v>228</v>
      </c>
      <c r="K92" s="595" t="s">
        <v>727</v>
      </c>
      <c r="L92" s="520" t="s">
        <v>562</v>
      </c>
      <c r="M92" s="521"/>
      <c r="N92" s="521"/>
      <c r="O92" s="521"/>
      <c r="P92" s="521"/>
      <c r="Q92" s="522"/>
      <c r="X92" s="203"/>
      <c r="AR92"/>
    </row>
    <row r="93" spans="1:44">
      <c r="A93" s="209"/>
      <c r="B93" s="618"/>
      <c r="C93" s="518"/>
      <c r="D93" s="518"/>
      <c r="E93" s="593"/>
      <c r="F93" s="596"/>
      <c r="G93" s="596"/>
      <c r="H93" s="596"/>
      <c r="I93" s="596"/>
      <c r="J93" s="593"/>
      <c r="K93" s="593"/>
      <c r="L93" s="208" t="s">
        <v>563</v>
      </c>
      <c r="M93" s="523" t="s">
        <v>564</v>
      </c>
      <c r="N93" s="523"/>
      <c r="O93" s="523" t="s">
        <v>565</v>
      </c>
      <c r="P93" s="523"/>
      <c r="Q93" s="524"/>
      <c r="U93" s="203"/>
      <c r="V93" s="203"/>
      <c r="W93" s="203"/>
      <c r="X93" s="203"/>
      <c r="AR93"/>
    </row>
    <row r="94" spans="1:44">
      <c r="A94" s="209"/>
      <c r="B94" s="618"/>
      <c r="C94" s="518"/>
      <c r="D94" s="518"/>
      <c r="E94" s="593"/>
      <c r="F94" s="596"/>
      <c r="G94" s="596"/>
      <c r="H94" s="596"/>
      <c r="I94" s="596"/>
      <c r="J94" s="593"/>
      <c r="K94" s="593"/>
      <c r="L94" s="205" t="s">
        <v>566</v>
      </c>
      <c r="M94" s="593" t="s">
        <v>567</v>
      </c>
      <c r="N94" s="593"/>
      <c r="O94" s="596" t="s">
        <v>568</v>
      </c>
      <c r="P94" s="596"/>
      <c r="Q94" s="598"/>
      <c r="U94" s="203"/>
      <c r="V94" s="203"/>
      <c r="W94" s="203"/>
      <c r="X94" s="203"/>
      <c r="AR94"/>
    </row>
    <row r="95" spans="1:44">
      <c r="A95" s="209"/>
      <c r="B95" s="619"/>
      <c r="C95" s="519"/>
      <c r="D95" s="519"/>
      <c r="E95" s="594"/>
      <c r="F95" s="597"/>
      <c r="G95" s="597"/>
      <c r="H95" s="597"/>
      <c r="I95" s="597"/>
      <c r="J95" s="594"/>
      <c r="K95" s="594"/>
      <c r="L95" s="181" t="s">
        <v>569</v>
      </c>
      <c r="M95" s="597" t="s">
        <v>570</v>
      </c>
      <c r="N95" s="597"/>
      <c r="O95" s="594" t="s">
        <v>571</v>
      </c>
      <c r="P95" s="594"/>
      <c r="Q95" s="602"/>
      <c r="U95" s="203"/>
      <c r="V95" s="203"/>
      <c r="W95" s="203"/>
      <c r="X95" s="203"/>
      <c r="AR95"/>
    </row>
    <row r="96" spans="1:44">
      <c r="B96" s="550">
        <v>6</v>
      </c>
      <c r="C96" s="551" t="s">
        <v>572</v>
      </c>
      <c r="D96" s="552" t="s">
        <v>573</v>
      </c>
      <c r="E96" s="555" t="s">
        <v>574</v>
      </c>
      <c r="F96" s="558" t="s">
        <v>974</v>
      </c>
      <c r="G96" s="559"/>
      <c r="H96" s="559"/>
      <c r="I96" s="559"/>
      <c r="J96" s="215" t="s">
        <v>575</v>
      </c>
      <c r="K96" s="223">
        <v>45050</v>
      </c>
      <c r="L96" s="603" t="s">
        <v>991</v>
      </c>
      <c r="M96" s="604"/>
      <c r="N96" s="604"/>
      <c r="O96" s="604"/>
      <c r="P96" s="604"/>
      <c r="Q96" s="604"/>
      <c r="X96" s="203"/>
      <c r="AR96"/>
    </row>
    <row r="97" spans="2:44" s="203" customFormat="1">
      <c r="B97" s="474"/>
      <c r="C97" s="477"/>
      <c r="D97" s="553"/>
      <c r="E97" s="556"/>
      <c r="F97" s="533" t="s">
        <v>1021</v>
      </c>
      <c r="G97" s="534"/>
      <c r="H97" s="534"/>
      <c r="I97" s="535"/>
      <c r="J97" s="394" t="s">
        <v>975</v>
      </c>
      <c r="K97" s="304" t="s">
        <v>976</v>
      </c>
      <c r="L97" s="605"/>
      <c r="M97" s="486"/>
      <c r="N97" s="486"/>
      <c r="O97" s="486"/>
      <c r="P97" s="486"/>
      <c r="Q97" s="486"/>
    </row>
    <row r="98" spans="2:44">
      <c r="B98" s="475"/>
      <c r="C98" s="478"/>
      <c r="D98" s="554"/>
      <c r="E98" s="557"/>
      <c r="F98" s="651" t="s">
        <v>576</v>
      </c>
      <c r="G98" s="463"/>
      <c r="H98" s="463"/>
      <c r="I98" s="463"/>
      <c r="J98" s="217" t="s">
        <v>549</v>
      </c>
      <c r="K98" s="224">
        <v>45107</v>
      </c>
      <c r="L98" s="488"/>
      <c r="M98" s="489"/>
      <c r="N98" s="489"/>
      <c r="O98" s="489"/>
      <c r="P98" s="489"/>
      <c r="Q98" s="489"/>
      <c r="X98" s="203"/>
      <c r="AR98"/>
    </row>
    <row r="99" spans="2:44" ht="33">
      <c r="B99" s="617">
        <v>7</v>
      </c>
      <c r="C99" s="517" t="s">
        <v>577</v>
      </c>
      <c r="D99" s="517" t="s">
        <v>578</v>
      </c>
      <c r="E99" s="212" t="s">
        <v>617</v>
      </c>
      <c r="F99" s="654" t="s">
        <v>973</v>
      </c>
      <c r="G99" s="655"/>
      <c r="H99" s="655"/>
      <c r="I99" s="656"/>
      <c r="J99" s="180" t="s">
        <v>228</v>
      </c>
      <c r="K99" s="212" t="s">
        <v>947</v>
      </c>
      <c r="L99" s="547" t="s">
        <v>618</v>
      </c>
      <c r="M99" s="548"/>
      <c r="N99" s="548"/>
      <c r="O99" s="548"/>
      <c r="P99" s="548"/>
      <c r="Q99" s="548"/>
      <c r="X99" s="203"/>
      <c r="AR99"/>
    </row>
    <row r="100" spans="2:44" s="203" customFormat="1">
      <c r="B100" s="652"/>
      <c r="C100" s="653"/>
      <c r="D100" s="653"/>
      <c r="E100" s="525" t="s">
        <v>703</v>
      </c>
      <c r="F100" s="527" t="s">
        <v>704</v>
      </c>
      <c r="G100" s="528"/>
      <c r="H100" s="528"/>
      <c r="I100" s="529"/>
      <c r="J100" s="536" t="s">
        <v>946</v>
      </c>
      <c r="K100" s="525" t="s">
        <v>945</v>
      </c>
      <c r="L100" s="539" t="s">
        <v>706</v>
      </c>
      <c r="M100" s="540"/>
      <c r="N100" s="540"/>
      <c r="O100" s="540"/>
      <c r="P100" s="540"/>
      <c r="Q100" s="540"/>
      <c r="R100" s="363"/>
    </row>
    <row r="101" spans="2:44" s="203" customFormat="1">
      <c r="B101" s="652"/>
      <c r="C101" s="653"/>
      <c r="D101" s="653"/>
      <c r="E101" s="526"/>
      <c r="F101" s="530"/>
      <c r="G101" s="531"/>
      <c r="H101" s="531"/>
      <c r="I101" s="532"/>
      <c r="J101" s="538"/>
      <c r="K101" s="526"/>
      <c r="L101" s="539"/>
      <c r="M101" s="540"/>
      <c r="N101" s="540"/>
      <c r="O101" s="540"/>
      <c r="P101" s="540"/>
      <c r="Q101" s="540"/>
      <c r="R101" s="363"/>
    </row>
    <row r="102" spans="2:44" s="203" customFormat="1">
      <c r="B102" s="652"/>
      <c r="C102" s="653"/>
      <c r="D102" s="653"/>
      <c r="E102" s="536" t="s">
        <v>579</v>
      </c>
      <c r="F102" s="527" t="s">
        <v>1001</v>
      </c>
      <c r="G102" s="528"/>
      <c r="H102" s="528"/>
      <c r="I102" s="529"/>
      <c r="J102" s="536" t="s">
        <v>1002</v>
      </c>
      <c r="K102" s="525" t="s">
        <v>1023</v>
      </c>
      <c r="L102" s="539" t="s">
        <v>705</v>
      </c>
      <c r="M102" s="540"/>
      <c r="N102" s="540"/>
      <c r="O102" s="540"/>
      <c r="P102" s="540"/>
      <c r="Q102" s="540"/>
      <c r="R102" s="390"/>
    </row>
    <row r="103" spans="2:44" s="203" customFormat="1">
      <c r="B103" s="652"/>
      <c r="C103" s="653"/>
      <c r="D103" s="653"/>
      <c r="E103" s="537"/>
      <c r="F103" s="530"/>
      <c r="G103" s="531"/>
      <c r="H103" s="531"/>
      <c r="I103" s="532"/>
      <c r="J103" s="538"/>
      <c r="K103" s="526"/>
      <c r="L103" s="389"/>
      <c r="M103" s="390"/>
      <c r="N103" s="390"/>
      <c r="O103" s="390"/>
      <c r="P103" s="390"/>
      <c r="Q103" s="390"/>
      <c r="R103" s="390"/>
    </row>
    <row r="104" spans="2:44">
      <c r="B104" s="618"/>
      <c r="C104" s="518"/>
      <c r="D104" s="518"/>
      <c r="E104" s="537"/>
      <c r="F104" s="527" t="s">
        <v>652</v>
      </c>
      <c r="G104" s="528"/>
      <c r="H104" s="528"/>
      <c r="I104" s="529"/>
      <c r="J104" s="536" t="s">
        <v>228</v>
      </c>
      <c r="K104" s="525" t="s">
        <v>944</v>
      </c>
      <c r="L104" s="539"/>
      <c r="M104" s="540"/>
      <c r="N104" s="540"/>
      <c r="O104" s="540"/>
      <c r="P104" s="540"/>
      <c r="Q104" s="540"/>
      <c r="X104" s="203"/>
      <c r="AR104"/>
    </row>
    <row r="105" spans="2:44">
      <c r="B105" s="618"/>
      <c r="C105" s="518"/>
      <c r="D105" s="518"/>
      <c r="E105" s="538"/>
      <c r="F105" s="530"/>
      <c r="G105" s="531"/>
      <c r="H105" s="531"/>
      <c r="I105" s="532"/>
      <c r="J105" s="538"/>
      <c r="K105" s="526"/>
      <c r="L105" s="211" t="s">
        <v>563</v>
      </c>
      <c r="M105" s="662" t="s">
        <v>580</v>
      </c>
      <c r="N105" s="662"/>
      <c r="O105" s="662" t="s">
        <v>581</v>
      </c>
      <c r="P105" s="662"/>
      <c r="Q105" s="663"/>
      <c r="X105" s="203"/>
      <c r="AR105"/>
    </row>
    <row r="106" spans="2:44">
      <c r="B106" s="618"/>
      <c r="C106" s="518"/>
      <c r="D106" s="518"/>
      <c r="E106" s="536" t="s">
        <v>497</v>
      </c>
      <c r="F106" s="527" t="s">
        <v>1024</v>
      </c>
      <c r="G106" s="528"/>
      <c r="H106" s="528"/>
      <c r="I106" s="529"/>
      <c r="J106" s="536" t="s">
        <v>228</v>
      </c>
      <c r="K106" s="525" t="s">
        <v>943</v>
      </c>
      <c r="L106" s="664" t="s">
        <v>582</v>
      </c>
      <c r="M106" s="560" t="s">
        <v>583</v>
      </c>
      <c r="N106" s="560"/>
      <c r="O106" s="562" t="s">
        <v>948</v>
      </c>
      <c r="P106" s="563"/>
      <c r="Q106" s="563"/>
      <c r="S106" s="203"/>
      <c r="X106" s="203"/>
      <c r="AR106"/>
    </row>
    <row r="107" spans="2:44">
      <c r="B107" s="619"/>
      <c r="C107" s="519"/>
      <c r="D107" s="519"/>
      <c r="E107" s="649"/>
      <c r="F107" s="658"/>
      <c r="G107" s="659"/>
      <c r="H107" s="659"/>
      <c r="I107" s="660"/>
      <c r="J107" s="649"/>
      <c r="K107" s="661"/>
      <c r="L107" s="665"/>
      <c r="M107" s="561"/>
      <c r="N107" s="561"/>
      <c r="O107" s="564"/>
      <c r="P107" s="565"/>
      <c r="Q107" s="565"/>
      <c r="S107" s="203"/>
      <c r="X107" s="203"/>
      <c r="AR107"/>
    </row>
    <row r="108" spans="2:44">
      <c r="B108" s="550">
        <v>8</v>
      </c>
      <c r="C108" s="551" t="s">
        <v>584</v>
      </c>
      <c r="D108" s="551" t="s">
        <v>585</v>
      </c>
      <c r="E108" s="559" t="s">
        <v>574</v>
      </c>
      <c r="F108" s="559" t="s">
        <v>732</v>
      </c>
      <c r="G108" s="559"/>
      <c r="H108" s="559"/>
      <c r="I108" s="559"/>
      <c r="J108" s="215" t="s">
        <v>228</v>
      </c>
      <c r="K108" s="223" t="s">
        <v>937</v>
      </c>
      <c r="L108" s="657" t="s">
        <v>942</v>
      </c>
      <c r="M108" s="604"/>
      <c r="N108" s="604"/>
      <c r="O108" s="604"/>
      <c r="P108" s="604"/>
      <c r="Q108" s="604"/>
      <c r="S108" s="203"/>
      <c r="X108" s="203"/>
      <c r="AR108"/>
    </row>
    <row r="109" spans="2:44" s="203" customFormat="1">
      <c r="B109" s="474"/>
      <c r="C109" s="477"/>
      <c r="D109" s="477"/>
      <c r="E109" s="462"/>
      <c r="F109" s="549" t="s">
        <v>731</v>
      </c>
      <c r="G109" s="534"/>
      <c r="H109" s="534"/>
      <c r="I109" s="535"/>
      <c r="J109" s="303" t="s">
        <v>223</v>
      </c>
      <c r="K109" s="304" t="s">
        <v>936</v>
      </c>
      <c r="L109" s="605"/>
      <c r="M109" s="486"/>
      <c r="N109" s="486"/>
      <c r="O109" s="486"/>
      <c r="P109" s="486"/>
      <c r="Q109" s="486"/>
    </row>
    <row r="110" spans="2:44">
      <c r="B110" s="475"/>
      <c r="C110" s="478"/>
      <c r="D110" s="478"/>
      <c r="E110" s="463"/>
      <c r="F110" s="490" t="s">
        <v>587</v>
      </c>
      <c r="G110" s="463"/>
      <c r="H110" s="463"/>
      <c r="I110" s="463"/>
      <c r="J110" s="217" t="s">
        <v>586</v>
      </c>
      <c r="K110" s="224" t="s">
        <v>936</v>
      </c>
      <c r="L110" s="488"/>
      <c r="M110" s="489"/>
      <c r="N110" s="489"/>
      <c r="O110" s="489"/>
      <c r="P110" s="489"/>
      <c r="Q110" s="489"/>
      <c r="S110" s="203"/>
      <c r="X110" s="203"/>
      <c r="AR110"/>
    </row>
    <row r="111" spans="2:44" s="203" customFormat="1">
      <c r="B111" s="541">
        <v>9</v>
      </c>
      <c r="C111" s="544" t="s">
        <v>601</v>
      </c>
      <c r="D111" s="513" t="s">
        <v>602</v>
      </c>
      <c r="E111" s="568" t="s">
        <v>603</v>
      </c>
      <c r="F111" s="570" t="s">
        <v>606</v>
      </c>
      <c r="G111" s="570"/>
      <c r="H111" s="570"/>
      <c r="I111" s="571"/>
      <c r="J111" s="568" t="s">
        <v>938</v>
      </c>
      <c r="K111" s="574">
        <v>45087</v>
      </c>
      <c r="L111" s="576" t="s">
        <v>972</v>
      </c>
      <c r="M111" s="577"/>
      <c r="N111" s="577"/>
      <c r="O111" s="577"/>
      <c r="P111" s="577"/>
      <c r="Q111" s="577"/>
    </row>
    <row r="112" spans="2:44" s="203" customFormat="1">
      <c r="B112" s="542"/>
      <c r="C112" s="545"/>
      <c r="D112" s="514"/>
      <c r="E112" s="569"/>
      <c r="F112" s="572"/>
      <c r="G112" s="572"/>
      <c r="H112" s="572"/>
      <c r="I112" s="573"/>
      <c r="J112" s="569"/>
      <c r="K112" s="575"/>
      <c r="L112" s="578"/>
      <c r="M112" s="579"/>
      <c r="N112" s="579"/>
      <c r="O112" s="579"/>
      <c r="P112" s="579"/>
      <c r="Q112" s="579"/>
    </row>
    <row r="113" spans="2:44" s="203" customFormat="1">
      <c r="B113" s="542"/>
      <c r="C113" s="545"/>
      <c r="D113" s="515"/>
      <c r="E113" s="465" t="s">
        <v>604</v>
      </c>
      <c r="F113" s="467" t="s">
        <v>605</v>
      </c>
      <c r="G113" s="467"/>
      <c r="H113" s="467"/>
      <c r="I113" s="468"/>
      <c r="J113" s="471" t="s">
        <v>228</v>
      </c>
      <c r="K113" s="566">
        <v>45102</v>
      </c>
      <c r="L113" s="252" t="s">
        <v>670</v>
      </c>
      <c r="M113" s="253" t="s">
        <v>672</v>
      </c>
      <c r="N113" s="479" t="s">
        <v>673</v>
      </c>
      <c r="O113" s="480"/>
      <c r="P113" s="481"/>
      <c r="Q113" s="209"/>
    </row>
    <row r="114" spans="2:44" s="203" customFormat="1">
      <c r="B114" s="543"/>
      <c r="C114" s="546"/>
      <c r="D114" s="516"/>
      <c r="E114" s="466"/>
      <c r="F114" s="469"/>
      <c r="G114" s="469"/>
      <c r="H114" s="469"/>
      <c r="I114" s="470"/>
      <c r="J114" s="472"/>
      <c r="K114" s="567"/>
      <c r="L114" s="278" t="s">
        <v>671</v>
      </c>
      <c r="M114" s="279" t="s">
        <v>690</v>
      </c>
      <c r="N114" s="482" t="s">
        <v>939</v>
      </c>
      <c r="O114" s="483"/>
      <c r="P114" s="484"/>
      <c r="Q114" s="280"/>
    </row>
    <row r="115" spans="2:44">
      <c r="B115" s="473">
        <v>10</v>
      </c>
      <c r="C115" s="476" t="s">
        <v>588</v>
      </c>
      <c r="D115" s="476" t="s">
        <v>589</v>
      </c>
      <c r="E115" s="461" t="s">
        <v>590</v>
      </c>
      <c r="F115" s="464" t="s">
        <v>680</v>
      </c>
      <c r="G115" s="461"/>
      <c r="H115" s="461"/>
      <c r="I115" s="461"/>
      <c r="J115" s="394" t="s">
        <v>557</v>
      </c>
      <c r="K115" s="304" t="s">
        <v>591</v>
      </c>
      <c r="L115" s="485" t="s">
        <v>990</v>
      </c>
      <c r="M115" s="486"/>
      <c r="N115" s="486"/>
      <c r="O115" s="486"/>
      <c r="P115" s="486"/>
      <c r="Q115" s="486"/>
      <c r="X115" s="203"/>
      <c r="AR115"/>
    </row>
    <row r="116" spans="2:44" s="203" customFormat="1">
      <c r="B116" s="474"/>
      <c r="C116" s="477"/>
      <c r="D116" s="477"/>
      <c r="E116" s="462"/>
      <c r="F116" s="509" t="s">
        <v>988</v>
      </c>
      <c r="G116" s="510"/>
      <c r="H116" s="510"/>
      <c r="I116" s="510"/>
      <c r="J116" s="425" t="s">
        <v>982</v>
      </c>
      <c r="K116" s="426" t="s">
        <v>989</v>
      </c>
      <c r="L116" s="487"/>
      <c r="M116" s="486"/>
      <c r="N116" s="486"/>
      <c r="O116" s="486"/>
      <c r="P116" s="486"/>
      <c r="Q116" s="486"/>
    </row>
    <row r="117" spans="2:44" s="203" customFormat="1">
      <c r="B117" s="474"/>
      <c r="C117" s="477"/>
      <c r="D117" s="477"/>
      <c r="E117" s="462"/>
      <c r="F117" s="509" t="s">
        <v>1039</v>
      </c>
      <c r="G117" s="510"/>
      <c r="H117" s="510"/>
      <c r="I117" s="511"/>
      <c r="J117" s="394" t="s">
        <v>228</v>
      </c>
      <c r="K117" s="304" t="s">
        <v>989</v>
      </c>
      <c r="L117" s="485"/>
      <c r="M117" s="486"/>
      <c r="N117" s="486"/>
      <c r="O117" s="486"/>
      <c r="P117" s="486"/>
      <c r="Q117" s="486"/>
    </row>
    <row r="118" spans="2:44">
      <c r="B118" s="475"/>
      <c r="C118" s="478"/>
      <c r="D118" s="478"/>
      <c r="E118" s="463"/>
      <c r="F118" s="490" t="s">
        <v>681</v>
      </c>
      <c r="G118" s="463"/>
      <c r="H118" s="463"/>
      <c r="I118" s="463"/>
      <c r="J118" s="217"/>
      <c r="K118" s="224" t="s">
        <v>591</v>
      </c>
      <c r="L118" s="488"/>
      <c r="M118" s="489"/>
      <c r="N118" s="489"/>
      <c r="O118" s="489"/>
      <c r="P118" s="489"/>
      <c r="Q118" s="489"/>
      <c r="X118" s="203"/>
      <c r="AR118"/>
    </row>
    <row r="119" spans="2:44" s="203" customFormat="1" ht="33">
      <c r="B119" s="491">
        <v>11</v>
      </c>
      <c r="C119" s="666" t="s">
        <v>701</v>
      </c>
      <c r="D119" s="666" t="s">
        <v>708</v>
      </c>
      <c r="E119" s="497" t="s">
        <v>709</v>
      </c>
      <c r="F119" s="500" t="s">
        <v>710</v>
      </c>
      <c r="G119" s="497"/>
      <c r="H119" s="497"/>
      <c r="I119" s="497"/>
      <c r="J119" s="289" t="s">
        <v>422</v>
      </c>
      <c r="K119" s="302" t="s">
        <v>728</v>
      </c>
      <c r="L119" s="501" t="s">
        <v>712</v>
      </c>
      <c r="M119" s="502"/>
      <c r="N119" s="502"/>
      <c r="O119" s="502"/>
      <c r="P119" s="502"/>
      <c r="Q119" s="502"/>
    </row>
    <row r="120" spans="2:44" s="203" customFormat="1">
      <c r="B120" s="493"/>
      <c r="C120" s="496"/>
      <c r="D120" s="496"/>
      <c r="E120" s="499"/>
      <c r="F120" s="508" t="s">
        <v>711</v>
      </c>
      <c r="G120" s="499"/>
      <c r="H120" s="499"/>
      <c r="I120" s="499"/>
      <c r="J120" s="290" t="s">
        <v>422</v>
      </c>
      <c r="K120" s="291" t="s">
        <v>729</v>
      </c>
      <c r="L120" s="503"/>
      <c r="M120" s="504"/>
      <c r="N120" s="504"/>
      <c r="O120" s="504"/>
      <c r="P120" s="504"/>
      <c r="Q120" s="504"/>
    </row>
    <row r="121" spans="2:44" s="203" customFormat="1">
      <c r="B121" s="473">
        <v>12</v>
      </c>
      <c r="C121" s="512" t="s">
        <v>733</v>
      </c>
      <c r="D121" s="476" t="s">
        <v>734</v>
      </c>
      <c r="E121" s="461" t="s">
        <v>709</v>
      </c>
      <c r="F121" s="464" t="s">
        <v>735</v>
      </c>
      <c r="G121" s="461"/>
      <c r="H121" s="461"/>
      <c r="I121" s="461"/>
      <c r="J121" s="293" t="s">
        <v>941</v>
      </c>
      <c r="K121" s="319">
        <v>45075</v>
      </c>
      <c r="L121" s="485" t="s">
        <v>737</v>
      </c>
      <c r="M121" s="486"/>
      <c r="N121" s="486"/>
      <c r="O121" s="486"/>
      <c r="P121" s="486"/>
      <c r="Q121" s="486"/>
    </row>
    <row r="122" spans="2:44" s="203" customFormat="1" ht="33">
      <c r="B122" s="475"/>
      <c r="C122" s="478"/>
      <c r="D122" s="478"/>
      <c r="E122" s="463"/>
      <c r="F122" s="490" t="s">
        <v>736</v>
      </c>
      <c r="G122" s="463"/>
      <c r="H122" s="463"/>
      <c r="I122" s="463"/>
      <c r="J122" s="292" t="s">
        <v>228</v>
      </c>
      <c r="K122" s="218" t="s">
        <v>940</v>
      </c>
      <c r="L122" s="488"/>
      <c r="M122" s="489"/>
      <c r="N122" s="489"/>
      <c r="O122" s="489"/>
      <c r="P122" s="489"/>
      <c r="Q122" s="489"/>
    </row>
    <row r="123" spans="2:44" s="203" customFormat="1" ht="33">
      <c r="B123" s="491">
        <v>13</v>
      </c>
      <c r="C123" s="494" t="s">
        <v>977</v>
      </c>
      <c r="D123" s="494" t="s">
        <v>979</v>
      </c>
      <c r="E123" s="497" t="s">
        <v>84</v>
      </c>
      <c r="F123" s="500" t="s">
        <v>978</v>
      </c>
      <c r="G123" s="497"/>
      <c r="H123" s="497"/>
      <c r="I123" s="497"/>
      <c r="J123" s="395" t="s">
        <v>422</v>
      </c>
      <c r="K123" s="302" t="s">
        <v>980</v>
      </c>
      <c r="L123" s="501" t="s">
        <v>986</v>
      </c>
      <c r="M123" s="502"/>
      <c r="N123" s="502"/>
      <c r="O123" s="502"/>
      <c r="P123" s="502"/>
      <c r="Q123" s="502"/>
    </row>
    <row r="124" spans="2:44" s="203" customFormat="1">
      <c r="B124" s="492"/>
      <c r="C124" s="495"/>
      <c r="D124" s="495"/>
      <c r="E124" s="498"/>
      <c r="F124" s="505" t="s">
        <v>981</v>
      </c>
      <c r="G124" s="506"/>
      <c r="H124" s="506"/>
      <c r="I124" s="507"/>
      <c r="J124" s="410" t="s">
        <v>982</v>
      </c>
      <c r="K124" s="411" t="s">
        <v>983</v>
      </c>
      <c r="L124" s="501"/>
      <c r="M124" s="502"/>
      <c r="N124" s="502"/>
      <c r="O124" s="502"/>
      <c r="P124" s="502"/>
      <c r="Q124" s="502"/>
    </row>
    <row r="125" spans="2:44" s="203" customFormat="1">
      <c r="B125" s="493"/>
      <c r="C125" s="496"/>
      <c r="D125" s="496"/>
      <c r="E125" s="499"/>
      <c r="F125" s="508" t="s">
        <v>984</v>
      </c>
      <c r="G125" s="499"/>
      <c r="H125" s="499"/>
      <c r="I125" s="499"/>
      <c r="J125" s="396" t="s">
        <v>422</v>
      </c>
      <c r="K125" s="291" t="s">
        <v>985</v>
      </c>
      <c r="L125" s="503"/>
      <c r="M125" s="504"/>
      <c r="N125" s="504"/>
      <c r="O125" s="504"/>
      <c r="P125" s="504"/>
      <c r="Q125" s="504"/>
    </row>
    <row r="126" spans="2:44" ht="33">
      <c r="B126" s="473">
        <v>14</v>
      </c>
      <c r="C126" s="512" t="s">
        <v>987</v>
      </c>
      <c r="D126" s="476" t="s">
        <v>84</v>
      </c>
      <c r="E126" s="461" t="s">
        <v>84</v>
      </c>
      <c r="F126" s="464" t="s">
        <v>997</v>
      </c>
      <c r="G126" s="461"/>
      <c r="H126" s="461"/>
      <c r="I126" s="461"/>
      <c r="J126" s="392" t="s">
        <v>228</v>
      </c>
      <c r="K126" s="319" t="s">
        <v>1000</v>
      </c>
      <c r="L126" s="485" t="s">
        <v>1020</v>
      </c>
      <c r="M126" s="486"/>
      <c r="N126" s="486"/>
      <c r="O126" s="486"/>
      <c r="P126" s="486"/>
      <c r="Q126" s="486"/>
      <c r="X126" s="203"/>
      <c r="AR126"/>
    </row>
    <row r="127" spans="2:44">
      <c r="B127" s="475"/>
      <c r="C127" s="478"/>
      <c r="D127" s="478"/>
      <c r="E127" s="463"/>
      <c r="F127" s="490" t="s">
        <v>998</v>
      </c>
      <c r="G127" s="463"/>
      <c r="H127" s="463"/>
      <c r="I127" s="463"/>
      <c r="J127" s="391" t="s">
        <v>975</v>
      </c>
      <c r="K127" s="218" t="s">
        <v>999</v>
      </c>
      <c r="L127" s="488"/>
      <c r="M127" s="489"/>
      <c r="N127" s="489"/>
      <c r="O127" s="489"/>
      <c r="P127" s="489"/>
      <c r="Q127" s="489"/>
      <c r="X127" s="203"/>
      <c r="AR127"/>
    </row>
    <row r="128" spans="2:44" s="203" customFormat="1">
      <c r="B128" s="491">
        <v>15</v>
      </c>
      <c r="C128" s="494" t="s">
        <v>1003</v>
      </c>
      <c r="D128" s="494" t="s">
        <v>1004</v>
      </c>
      <c r="E128" s="497" t="s">
        <v>84</v>
      </c>
      <c r="F128" s="500" t="s">
        <v>978</v>
      </c>
      <c r="G128" s="497"/>
      <c r="H128" s="497"/>
      <c r="I128" s="497"/>
      <c r="J128" s="395" t="s">
        <v>422</v>
      </c>
      <c r="K128" s="302" t="s">
        <v>1005</v>
      </c>
      <c r="L128" s="501" t="s">
        <v>1007</v>
      </c>
      <c r="M128" s="502"/>
      <c r="N128" s="502"/>
      <c r="O128" s="502"/>
      <c r="P128" s="502"/>
      <c r="Q128" s="502"/>
    </row>
    <row r="129" spans="2:44" s="203" customFormat="1">
      <c r="B129" s="492"/>
      <c r="C129" s="495"/>
      <c r="D129" s="495"/>
      <c r="E129" s="498"/>
      <c r="F129" s="505" t="s">
        <v>1019</v>
      </c>
      <c r="G129" s="506"/>
      <c r="H129" s="506"/>
      <c r="I129" s="507"/>
      <c r="J129" s="410" t="s">
        <v>982</v>
      </c>
      <c r="K129" s="423" t="s">
        <v>982</v>
      </c>
      <c r="L129" s="501"/>
      <c r="M129" s="502"/>
      <c r="N129" s="502"/>
      <c r="O129" s="502"/>
      <c r="P129" s="502"/>
      <c r="Q129" s="502"/>
    </row>
    <row r="130" spans="2:44" s="203" customFormat="1">
      <c r="B130" s="493"/>
      <c r="C130" s="496"/>
      <c r="D130" s="496"/>
      <c r="E130" s="499"/>
      <c r="F130" s="508" t="s">
        <v>984</v>
      </c>
      <c r="G130" s="499"/>
      <c r="H130" s="499"/>
      <c r="I130" s="499"/>
      <c r="J130" s="396" t="s">
        <v>422</v>
      </c>
      <c r="K130" s="291" t="s">
        <v>1006</v>
      </c>
      <c r="L130" s="503"/>
      <c r="M130" s="504"/>
      <c r="N130" s="504"/>
      <c r="O130" s="504"/>
      <c r="P130" s="504"/>
      <c r="Q130" s="504"/>
    </row>
    <row r="131" spans="2:44" ht="28.5" customHeight="1">
      <c r="B131" s="203"/>
      <c r="C131" s="203"/>
      <c r="D131" s="203"/>
      <c r="E131" s="203"/>
      <c r="F131" s="203"/>
      <c r="G131" s="203"/>
      <c r="H131" s="203"/>
      <c r="I131" s="203"/>
      <c r="J131" s="203"/>
      <c r="K131" s="203"/>
    </row>
    <row r="132" spans="2:44" ht="28.5" customHeight="1">
      <c r="B132" s="203"/>
      <c r="C132" s="203"/>
      <c r="D132" s="203"/>
      <c r="E132" s="203"/>
      <c r="F132" s="203"/>
      <c r="G132" s="203"/>
      <c r="H132" s="203"/>
      <c r="I132" s="203"/>
      <c r="J132" s="203"/>
      <c r="K132" s="203"/>
    </row>
    <row r="133" spans="2:44" ht="28.5" customHeight="1">
      <c r="B133" s="203"/>
      <c r="C133" s="203"/>
      <c r="D133" s="203"/>
      <c r="E133" s="203"/>
      <c r="F133" s="203"/>
      <c r="G133" s="203"/>
      <c r="H133" s="203"/>
      <c r="I133" s="203"/>
      <c r="J133" s="203"/>
      <c r="K133" s="203"/>
    </row>
    <row r="134" spans="2:44" ht="28.5" customHeight="1">
      <c r="B134" s="203"/>
      <c r="C134" s="203"/>
      <c r="D134" s="203"/>
      <c r="E134" s="203"/>
      <c r="F134" s="203"/>
      <c r="G134" s="203"/>
      <c r="H134" s="203"/>
      <c r="I134" s="203"/>
      <c r="J134" s="203"/>
      <c r="K134" s="203"/>
    </row>
    <row r="135" spans="2:44" ht="28.5" customHeight="1">
      <c r="B135" s="203"/>
      <c r="C135" s="203"/>
      <c r="D135" s="203"/>
      <c r="E135" s="203"/>
      <c r="F135" s="203"/>
      <c r="G135" s="203"/>
      <c r="H135" s="203"/>
      <c r="I135" s="203"/>
      <c r="J135" s="203"/>
      <c r="K135" s="203"/>
    </row>
    <row r="136" spans="2:44">
      <c r="B136" s="203"/>
      <c r="C136" s="203"/>
      <c r="D136" s="203"/>
      <c r="E136" s="203"/>
      <c r="F136" s="203"/>
      <c r="G136" s="203"/>
      <c r="H136" s="203"/>
      <c r="I136" s="203"/>
      <c r="J136" s="203"/>
      <c r="K136" s="203"/>
    </row>
    <row r="137" spans="2:44" ht="16.5" hidden="1" customHeight="1">
      <c r="B137" s="203"/>
      <c r="C137" s="203"/>
      <c r="D137" s="203"/>
      <c r="E137" s="203"/>
      <c r="F137" s="203"/>
      <c r="G137" s="203"/>
      <c r="H137" s="203"/>
      <c r="I137" s="203"/>
      <c r="J137" s="203"/>
      <c r="K137" s="203"/>
    </row>
    <row r="138" spans="2:44" ht="24" hidden="1" customHeight="1">
      <c r="B138" s="203"/>
      <c r="C138" s="203"/>
      <c r="D138" s="203"/>
      <c r="E138" s="203"/>
      <c r="F138" s="203"/>
      <c r="G138" s="203"/>
      <c r="H138" s="203"/>
      <c r="I138" s="203"/>
      <c r="J138" s="203"/>
      <c r="K138" s="203"/>
      <c r="L138" s="305">
        <v>45064</v>
      </c>
      <c r="M138" s="305">
        <v>45065</v>
      </c>
      <c r="N138" s="305">
        <v>45066</v>
      </c>
      <c r="O138" s="305">
        <v>45067</v>
      </c>
      <c r="P138" s="305">
        <v>45068</v>
      </c>
      <c r="Q138" s="305">
        <v>45069</v>
      </c>
      <c r="R138" s="305">
        <v>45070</v>
      </c>
      <c r="S138" s="305">
        <v>45071</v>
      </c>
      <c r="T138" s="305">
        <v>45072</v>
      </c>
      <c r="U138" s="305">
        <v>45073</v>
      </c>
      <c r="V138" s="305">
        <v>45074</v>
      </c>
      <c r="W138" s="305">
        <v>45075</v>
      </c>
      <c r="X138" s="305">
        <v>45076</v>
      </c>
      <c r="Y138" s="305">
        <v>45077</v>
      </c>
      <c r="Z138" s="305">
        <v>45078</v>
      </c>
      <c r="AA138" s="305">
        <v>45079</v>
      </c>
      <c r="AB138" s="305">
        <v>45080</v>
      </c>
      <c r="AC138" s="305">
        <v>45081</v>
      </c>
      <c r="AD138" s="305">
        <v>45082</v>
      </c>
      <c r="AE138" s="305">
        <v>45083</v>
      </c>
      <c r="AF138" s="305">
        <v>45084</v>
      </c>
      <c r="AG138" s="305">
        <v>45085</v>
      </c>
      <c r="AH138" s="305">
        <v>45086</v>
      </c>
      <c r="AI138" s="305">
        <v>45087</v>
      </c>
      <c r="AJ138" s="305">
        <v>45088</v>
      </c>
      <c r="AK138" s="305">
        <v>45089</v>
      </c>
      <c r="AL138" s="305">
        <v>45090</v>
      </c>
      <c r="AM138" s="305">
        <v>45091</v>
      </c>
      <c r="AN138" s="305">
        <v>45092</v>
      </c>
      <c r="AO138" s="305">
        <v>45093</v>
      </c>
      <c r="AP138" s="305">
        <v>45094</v>
      </c>
      <c r="AQ138" s="305">
        <v>45095</v>
      </c>
      <c r="AR138" s="306">
        <v>45096</v>
      </c>
    </row>
    <row r="139" spans="2:44" ht="24" hidden="1" customHeight="1">
      <c r="B139" s="203"/>
      <c r="C139" s="203"/>
      <c r="D139" s="203"/>
      <c r="E139" s="203"/>
      <c r="F139" s="203"/>
      <c r="G139" s="203"/>
      <c r="H139" s="203"/>
      <c r="I139" s="203"/>
      <c r="J139" s="203"/>
      <c r="K139" s="203"/>
      <c r="L139" s="307"/>
      <c r="M139" s="307"/>
      <c r="N139" s="307"/>
      <c r="O139" s="307"/>
      <c r="P139" s="307"/>
      <c r="Q139" s="307"/>
      <c r="R139" s="308" t="s">
        <v>730</v>
      </c>
      <c r="S139" s="308"/>
      <c r="T139" s="308"/>
      <c r="U139" s="308"/>
      <c r="V139" s="308"/>
      <c r="W139" s="308"/>
      <c r="X139" s="308"/>
      <c r="Y139" s="308"/>
      <c r="Z139" s="308"/>
      <c r="AA139" s="308"/>
      <c r="AB139" s="308"/>
      <c r="AC139" s="308"/>
      <c r="AD139" s="308"/>
      <c r="AE139" s="308"/>
      <c r="AF139" s="308"/>
      <c r="AG139" s="308"/>
      <c r="AH139" s="308"/>
      <c r="AI139" s="308"/>
      <c r="AJ139" s="308"/>
      <c r="AK139" s="308"/>
      <c r="AL139" s="308"/>
      <c r="AM139" s="308"/>
      <c r="AN139" s="308"/>
      <c r="AO139" s="308"/>
      <c r="AP139" s="308"/>
      <c r="AQ139" s="308"/>
      <c r="AR139" s="309"/>
    </row>
    <row r="140" spans="2:44" ht="24" hidden="1" customHeight="1">
      <c r="B140" s="203"/>
      <c r="C140" s="203"/>
      <c r="D140" s="203"/>
      <c r="E140" s="203"/>
      <c r="F140" s="203"/>
      <c r="G140" s="203"/>
      <c r="H140" s="203"/>
      <c r="I140" s="203"/>
      <c r="J140" s="203"/>
      <c r="K140" s="203"/>
      <c r="L140" s="307"/>
      <c r="M140" s="307"/>
      <c r="N140" s="307"/>
      <c r="O140" s="307"/>
      <c r="P140" s="307"/>
      <c r="Q140" s="307"/>
      <c r="R140" s="307"/>
      <c r="S140" s="307"/>
      <c r="T140" s="307"/>
      <c r="U140" s="307"/>
      <c r="V140" s="307"/>
      <c r="W140" s="307"/>
      <c r="X140" s="308" t="s">
        <v>764</v>
      </c>
      <c r="Y140" s="308"/>
      <c r="Z140" s="308"/>
      <c r="AA140" s="308"/>
      <c r="AB140" s="308"/>
      <c r="AC140" s="308"/>
      <c r="AD140" s="308"/>
      <c r="AE140" s="308"/>
      <c r="AF140" s="308"/>
      <c r="AG140" s="308"/>
      <c r="AH140" s="308"/>
      <c r="AI140" s="308"/>
      <c r="AJ140" s="308"/>
      <c r="AK140" s="308"/>
      <c r="AL140" s="308"/>
      <c r="AM140" s="308"/>
      <c r="AN140" s="308"/>
      <c r="AO140" s="308"/>
      <c r="AP140" s="308"/>
      <c r="AQ140" s="308"/>
      <c r="AR140" s="309"/>
    </row>
    <row r="141" spans="2:44" s="203" customFormat="1" ht="24" hidden="1" customHeight="1">
      <c r="L141" s="331"/>
      <c r="M141" s="331"/>
      <c r="N141" s="331"/>
      <c r="O141" s="331"/>
      <c r="P141" s="331"/>
      <c r="Q141" s="331"/>
      <c r="R141" s="331"/>
      <c r="S141" s="331"/>
      <c r="T141" s="308"/>
      <c r="U141" s="308"/>
      <c r="V141" s="308"/>
      <c r="W141" s="308"/>
      <c r="X141" s="308"/>
      <c r="Y141" s="308"/>
      <c r="Z141" s="308"/>
      <c r="AA141" s="308"/>
      <c r="AB141" s="308"/>
      <c r="AC141" s="308"/>
      <c r="AD141" s="308"/>
      <c r="AE141" s="308"/>
      <c r="AF141" s="308"/>
      <c r="AG141" s="308"/>
      <c r="AH141" s="308"/>
      <c r="AI141" s="308"/>
      <c r="AJ141" s="308"/>
      <c r="AK141" s="308"/>
      <c r="AL141" s="308"/>
      <c r="AM141" s="308"/>
      <c r="AN141" s="308"/>
      <c r="AO141" s="308"/>
      <c r="AP141" s="308"/>
      <c r="AQ141" s="308"/>
      <c r="AR141" s="309"/>
    </row>
    <row r="142" spans="2:44" s="203" customFormat="1" ht="24" hidden="1" customHeight="1">
      <c r="L142" s="307"/>
      <c r="M142" s="307"/>
      <c r="N142" s="307"/>
      <c r="O142" s="307"/>
      <c r="P142" s="307"/>
      <c r="Q142" s="307"/>
      <c r="R142" s="307"/>
      <c r="S142" s="310"/>
      <c r="T142" s="310"/>
      <c r="U142" s="310"/>
      <c r="V142" s="310"/>
      <c r="W142" s="310"/>
      <c r="X142" s="310"/>
      <c r="Y142" s="310"/>
      <c r="Z142" s="308"/>
      <c r="AA142" s="308"/>
      <c r="AB142" s="308"/>
      <c r="AC142" s="308"/>
      <c r="AD142" s="308"/>
      <c r="AE142" s="308"/>
      <c r="AF142" s="308"/>
      <c r="AG142" s="308"/>
      <c r="AH142" s="308"/>
      <c r="AI142" s="308"/>
      <c r="AJ142" s="308"/>
      <c r="AK142" s="308"/>
      <c r="AL142" s="308"/>
      <c r="AM142" s="308"/>
      <c r="AN142" s="308"/>
      <c r="AO142" s="308"/>
      <c r="AP142" s="308"/>
      <c r="AQ142" s="308"/>
      <c r="AR142" s="309"/>
    </row>
    <row r="143" spans="2:44" ht="24" hidden="1" customHeight="1">
      <c r="B143" s="203"/>
      <c r="C143" s="203"/>
      <c r="D143" s="203"/>
      <c r="E143" s="203"/>
      <c r="F143" s="203"/>
      <c r="G143" s="203"/>
      <c r="H143" s="203"/>
      <c r="I143" s="203"/>
      <c r="J143" s="203"/>
      <c r="K143" s="203"/>
      <c r="L143" s="310" t="s">
        <v>738</v>
      </c>
      <c r="M143" s="310"/>
      <c r="N143" s="310"/>
      <c r="O143" s="310"/>
      <c r="P143" s="310"/>
      <c r="Q143" s="310"/>
      <c r="R143" s="310"/>
      <c r="S143" s="310"/>
      <c r="T143" s="310"/>
      <c r="U143" s="310"/>
      <c r="V143" s="310"/>
      <c r="W143" s="310"/>
      <c r="X143" s="310"/>
      <c r="Y143" s="310"/>
      <c r="Z143" s="310"/>
      <c r="AA143" s="310"/>
      <c r="AB143" s="310"/>
      <c r="AC143" s="310"/>
      <c r="AD143" s="310"/>
      <c r="AE143" s="310"/>
      <c r="AF143" s="310"/>
      <c r="AG143" s="310"/>
      <c r="AH143" s="310"/>
      <c r="AI143" s="310"/>
      <c r="AJ143" s="310"/>
      <c r="AK143" s="310"/>
      <c r="AL143" s="310"/>
      <c r="AM143" s="310"/>
      <c r="AN143" s="310"/>
      <c r="AO143" s="310"/>
      <c r="AP143" s="310"/>
      <c r="AQ143" s="310"/>
      <c r="AR143" s="311"/>
    </row>
    <row r="144" spans="2:44" ht="24" hidden="1" customHeight="1">
      <c r="B144" s="203"/>
      <c r="C144" s="203"/>
      <c r="D144" s="203"/>
      <c r="E144" s="203"/>
      <c r="F144" s="203"/>
      <c r="G144" s="203"/>
      <c r="H144" s="203"/>
      <c r="I144" s="203"/>
      <c r="J144" s="203"/>
      <c r="K144" s="203"/>
      <c r="L144" s="307"/>
      <c r="M144" s="307"/>
      <c r="N144" s="307"/>
      <c r="O144" s="307"/>
      <c r="P144" s="307"/>
      <c r="Q144" s="307"/>
      <c r="R144" s="307"/>
      <c r="S144" s="307"/>
      <c r="T144" s="307"/>
      <c r="U144" s="307"/>
      <c r="V144" s="307"/>
      <c r="W144" s="307"/>
      <c r="X144" s="307"/>
      <c r="Y144" s="307"/>
      <c r="Z144" s="307"/>
      <c r="AA144" s="307"/>
      <c r="AB144" s="307"/>
      <c r="AC144" s="307"/>
      <c r="AD144" s="307"/>
      <c r="AE144" s="307"/>
      <c r="AF144" s="307"/>
      <c r="AG144" s="307"/>
      <c r="AH144" s="307"/>
      <c r="AI144" s="307"/>
      <c r="AJ144" s="307"/>
      <c r="AK144" s="307"/>
      <c r="AL144" s="307"/>
      <c r="AM144" s="307"/>
      <c r="AN144" s="307"/>
      <c r="AO144" s="307"/>
      <c r="AP144" s="307"/>
      <c r="AQ144" s="307"/>
      <c r="AR144" s="312"/>
    </row>
    <row r="145" spans="2:44" ht="24" hidden="1" customHeight="1">
      <c r="B145" s="203"/>
      <c r="C145" s="203"/>
      <c r="D145" s="203"/>
      <c r="E145" s="203"/>
      <c r="F145" s="203"/>
      <c r="G145" s="203"/>
      <c r="H145" s="203"/>
      <c r="I145" s="203"/>
      <c r="J145" s="203"/>
      <c r="K145" s="203"/>
      <c r="L145" s="310"/>
      <c r="M145" s="310"/>
      <c r="N145" s="310"/>
      <c r="O145" s="310"/>
      <c r="P145" s="310"/>
      <c r="Q145" s="310"/>
      <c r="R145" s="332"/>
      <c r="S145" s="310"/>
      <c r="T145" s="310"/>
      <c r="U145" s="310"/>
      <c r="V145" s="310"/>
      <c r="W145" s="310"/>
      <c r="X145" s="310"/>
      <c r="Y145" s="310"/>
      <c r="Z145" s="310"/>
      <c r="AA145" s="310"/>
      <c r="AB145" s="310"/>
      <c r="AC145" s="310"/>
      <c r="AD145" s="310"/>
      <c r="AE145" s="310"/>
      <c r="AF145" s="310"/>
      <c r="AG145" s="310"/>
      <c r="AH145" s="310"/>
      <c r="AI145" s="310"/>
      <c r="AJ145" s="310"/>
      <c r="AK145" s="310"/>
      <c r="AL145" s="310"/>
      <c r="AM145" s="310"/>
      <c r="AN145" s="310"/>
      <c r="AO145" s="310"/>
      <c r="AP145" s="310"/>
      <c r="AQ145" s="310"/>
      <c r="AR145" s="311"/>
    </row>
    <row r="146" spans="2:44" ht="24" hidden="1" customHeight="1">
      <c r="B146" s="203"/>
      <c r="C146" s="203"/>
      <c r="D146" s="203"/>
      <c r="E146" s="203"/>
      <c r="F146" s="203"/>
      <c r="G146" s="203"/>
      <c r="H146" s="203"/>
      <c r="I146" s="203"/>
      <c r="J146" s="203"/>
      <c r="K146" s="203"/>
      <c r="L146" s="310"/>
      <c r="M146" s="310"/>
      <c r="N146" s="310"/>
      <c r="O146" s="310"/>
      <c r="P146" s="310"/>
      <c r="Q146" s="310"/>
      <c r="R146" s="310"/>
      <c r="S146" s="310"/>
      <c r="T146" s="310"/>
      <c r="U146" s="310"/>
      <c r="V146" s="310"/>
      <c r="W146" s="310"/>
      <c r="X146" s="310"/>
      <c r="Y146" s="310"/>
      <c r="Z146" s="310"/>
      <c r="AA146" s="310"/>
      <c r="AB146" s="310"/>
      <c r="AC146" s="310"/>
      <c r="AD146" s="310"/>
      <c r="AE146" s="310"/>
      <c r="AF146" s="310"/>
      <c r="AG146" s="310"/>
      <c r="AH146" s="310"/>
      <c r="AI146" s="310"/>
      <c r="AJ146" s="310"/>
      <c r="AK146" s="310"/>
      <c r="AL146" s="310"/>
      <c r="AM146" s="310"/>
      <c r="AN146" s="310"/>
      <c r="AO146" s="310"/>
      <c r="AP146" s="310"/>
      <c r="AQ146" s="310"/>
      <c r="AR146" s="311"/>
    </row>
    <row r="147" spans="2:44" ht="24" hidden="1" customHeight="1">
      <c r="B147" s="203"/>
      <c r="C147" s="203"/>
      <c r="D147" s="203"/>
      <c r="E147" s="203"/>
      <c r="F147" s="203"/>
      <c r="G147" s="203"/>
      <c r="H147" s="203"/>
      <c r="I147" s="203"/>
      <c r="J147" s="203"/>
      <c r="K147" s="203"/>
      <c r="L147" s="313"/>
      <c r="M147" s="313"/>
      <c r="N147" s="313"/>
      <c r="O147" s="313"/>
      <c r="P147" s="313"/>
      <c r="Q147" s="313"/>
      <c r="R147" s="313"/>
      <c r="S147" s="313"/>
      <c r="T147" s="313"/>
      <c r="U147" s="313"/>
      <c r="V147" s="313"/>
      <c r="W147" s="313"/>
      <c r="X147" s="313"/>
      <c r="Y147" s="313"/>
      <c r="Z147" s="313"/>
      <c r="AA147" s="313"/>
      <c r="AB147" s="313"/>
      <c r="AC147" s="313"/>
      <c r="AD147" s="313"/>
      <c r="AE147" s="313"/>
      <c r="AF147" s="313"/>
      <c r="AG147" s="313"/>
      <c r="AH147" s="313"/>
      <c r="AI147" s="313"/>
      <c r="AJ147" s="313"/>
      <c r="AK147" s="313"/>
      <c r="AL147" s="313"/>
      <c r="AM147" s="313"/>
      <c r="AN147" s="313"/>
      <c r="AO147" s="313"/>
      <c r="AP147" s="313"/>
      <c r="AQ147" s="313"/>
      <c r="AR147" s="314"/>
    </row>
    <row r="148" spans="2:44" s="203" customFormat="1" ht="24" hidden="1" customHeight="1">
      <c r="L148" s="313"/>
      <c r="M148" s="313"/>
      <c r="N148" s="313"/>
      <c r="O148" s="313"/>
      <c r="P148" s="313"/>
      <c r="Q148" s="313"/>
      <c r="R148" s="313"/>
      <c r="S148" s="313"/>
      <c r="T148" s="313"/>
      <c r="U148" s="313"/>
      <c r="V148" s="313"/>
      <c r="W148" s="313"/>
      <c r="X148" s="313"/>
      <c r="Y148" s="313"/>
      <c r="Z148" s="313" t="s">
        <v>765</v>
      </c>
      <c r="AA148" s="313"/>
      <c r="AB148" s="313" t="s">
        <v>766</v>
      </c>
      <c r="AC148" s="313"/>
      <c r="AD148" s="313"/>
      <c r="AE148" s="313"/>
      <c r="AF148" s="313"/>
      <c r="AG148" s="313"/>
      <c r="AH148" s="313"/>
      <c r="AI148" s="313"/>
      <c r="AJ148" s="313"/>
      <c r="AK148" s="313"/>
      <c r="AL148" s="313"/>
      <c r="AM148" s="313"/>
      <c r="AN148" s="313"/>
      <c r="AO148" s="313"/>
      <c r="AP148" s="313"/>
      <c r="AQ148" s="313"/>
      <c r="AR148" s="314"/>
    </row>
    <row r="149" spans="2:44" ht="16.5" hidden="1" customHeight="1">
      <c r="B149" s="203"/>
      <c r="C149" s="203"/>
      <c r="D149" s="203"/>
      <c r="E149" s="203"/>
      <c r="F149" s="203"/>
      <c r="G149" s="203"/>
      <c r="H149" s="203"/>
      <c r="I149" s="203"/>
      <c r="J149" s="203"/>
      <c r="K149" s="203"/>
    </row>
    <row r="150" spans="2:44" ht="16.5" hidden="1" customHeight="1">
      <c r="B150" s="203"/>
      <c r="C150" s="203"/>
      <c r="D150" s="203"/>
      <c r="E150" s="203"/>
      <c r="F150" s="203"/>
      <c r="G150" s="203"/>
      <c r="H150" s="203"/>
      <c r="I150" s="203"/>
      <c r="J150" s="203"/>
      <c r="K150" s="203"/>
    </row>
    <row r="151" spans="2:44" ht="16.5" hidden="1" customHeight="1">
      <c r="B151" s="203"/>
      <c r="C151" s="203"/>
      <c r="D151" s="203"/>
      <c r="E151" s="203"/>
      <c r="F151" s="203"/>
      <c r="G151" s="203"/>
      <c r="H151" s="203"/>
      <c r="I151" s="203"/>
      <c r="J151" s="203"/>
      <c r="K151" s="203"/>
    </row>
    <row r="152" spans="2:44" ht="16.5" hidden="1" customHeight="1">
      <c r="B152" s="203"/>
      <c r="C152" s="203"/>
      <c r="D152" s="203"/>
      <c r="E152" s="203"/>
      <c r="F152" s="203"/>
      <c r="G152" s="203"/>
      <c r="H152" s="203"/>
      <c r="I152" s="203"/>
      <c r="J152" s="203"/>
      <c r="K152" s="203"/>
    </row>
    <row r="153" spans="2:44" ht="16.5" hidden="1" customHeight="1">
      <c r="B153" s="203"/>
      <c r="C153" s="203"/>
      <c r="D153" s="203"/>
      <c r="E153" s="203"/>
      <c r="F153" s="203"/>
      <c r="G153" s="203"/>
      <c r="H153" s="203"/>
      <c r="I153" s="203"/>
      <c r="J153" s="203"/>
      <c r="K153" s="203"/>
    </row>
    <row r="154" spans="2:44">
      <c r="B154" s="203"/>
      <c r="C154" s="203"/>
      <c r="D154" s="203"/>
      <c r="E154" s="203"/>
      <c r="F154" s="203"/>
      <c r="G154" s="203"/>
      <c r="H154" s="203"/>
      <c r="I154" s="203"/>
      <c r="J154" s="203"/>
      <c r="K154" s="203"/>
    </row>
    <row r="155" spans="2:44">
      <c r="B155" s="203"/>
      <c r="C155" s="203"/>
      <c r="D155" s="203"/>
      <c r="E155" s="203"/>
      <c r="F155" s="203"/>
      <c r="G155" s="203"/>
      <c r="H155" s="203"/>
      <c r="I155" s="203"/>
      <c r="J155" s="203"/>
      <c r="K155" s="203"/>
    </row>
    <row r="156" spans="2:44">
      <c r="B156" s="203"/>
      <c r="C156" s="203"/>
      <c r="D156" s="203"/>
      <c r="E156" s="203"/>
      <c r="F156" s="203"/>
      <c r="G156" s="203"/>
      <c r="H156" s="203"/>
      <c r="I156" s="203"/>
      <c r="J156" s="203"/>
      <c r="K156" s="203"/>
    </row>
    <row r="157" spans="2:44">
      <c r="B157" s="203"/>
      <c r="C157" s="203"/>
      <c r="D157" s="203"/>
      <c r="E157" s="203"/>
      <c r="F157" s="203"/>
      <c r="G157" s="203"/>
      <c r="H157" s="203"/>
      <c r="I157" s="203"/>
      <c r="J157" s="203"/>
      <c r="K157" s="203"/>
    </row>
    <row r="158" spans="2:44">
      <c r="B158" s="203"/>
      <c r="C158" s="203"/>
      <c r="D158" s="203"/>
      <c r="E158" s="203"/>
      <c r="F158" s="203"/>
      <c r="G158" s="203"/>
      <c r="H158" s="203"/>
      <c r="I158" s="203"/>
      <c r="J158" s="203"/>
      <c r="K158" s="203"/>
    </row>
    <row r="159" spans="2:44">
      <c r="B159" s="203"/>
      <c r="C159" s="203"/>
      <c r="D159" s="203"/>
      <c r="E159" s="203"/>
      <c r="F159" s="203"/>
      <c r="G159" s="203"/>
      <c r="H159" s="203"/>
      <c r="I159" s="203"/>
      <c r="J159" s="203"/>
      <c r="K159" s="203"/>
    </row>
    <row r="160" spans="2:44">
      <c r="B160" s="203"/>
      <c r="C160" s="203"/>
      <c r="D160" s="203"/>
      <c r="E160" s="203"/>
      <c r="F160" s="203"/>
      <c r="G160" s="203"/>
      <c r="H160" s="203"/>
      <c r="I160" s="203"/>
      <c r="J160" s="203"/>
      <c r="K160" s="203"/>
    </row>
    <row r="161" spans="2:11">
      <c r="B161" s="203"/>
      <c r="C161" s="203"/>
      <c r="D161" s="203"/>
      <c r="E161" s="203"/>
      <c r="F161" s="203"/>
      <c r="G161" s="203"/>
      <c r="H161" s="203"/>
      <c r="I161" s="203"/>
      <c r="J161" s="203"/>
      <c r="K161" s="203"/>
    </row>
    <row r="162" spans="2:11">
      <c r="B162" s="203"/>
      <c r="C162" s="203"/>
      <c r="D162" s="203"/>
      <c r="E162" s="203"/>
      <c r="F162" s="203"/>
      <c r="G162" s="203"/>
      <c r="H162" s="203"/>
      <c r="I162" s="203"/>
      <c r="J162" s="203"/>
      <c r="K162" s="203"/>
    </row>
  </sheetData>
  <mergeCells count="234">
    <mergeCell ref="B121:B122"/>
    <mergeCell ref="C121:C122"/>
    <mergeCell ref="F121:I121"/>
    <mergeCell ref="L121:Q122"/>
    <mergeCell ref="F122:I122"/>
    <mergeCell ref="D121:D122"/>
    <mergeCell ref="E121:E122"/>
    <mergeCell ref="B23:B32"/>
    <mergeCell ref="C23:D23"/>
    <mergeCell ref="C24:D24"/>
    <mergeCell ref="C25:D25"/>
    <mergeCell ref="C26:D26"/>
    <mergeCell ref="C27:D27"/>
    <mergeCell ref="C28:D28"/>
    <mergeCell ref="C29:D29"/>
    <mergeCell ref="C30:D30"/>
    <mergeCell ref="C31:D31"/>
    <mergeCell ref="C32:D32"/>
    <mergeCell ref="B33:B42"/>
    <mergeCell ref="C33:D33"/>
    <mergeCell ref="F33:W33"/>
    <mergeCell ref="C34:D34"/>
    <mergeCell ref="C35:D35"/>
    <mergeCell ref="C36:D36"/>
    <mergeCell ref="B92:B95"/>
    <mergeCell ref="L108:Q110"/>
    <mergeCell ref="F110:I110"/>
    <mergeCell ref="F106:I107"/>
    <mergeCell ref="J106:J107"/>
    <mergeCell ref="K106:K107"/>
    <mergeCell ref="F104:I105"/>
    <mergeCell ref="J104:J105"/>
    <mergeCell ref="K104:K105"/>
    <mergeCell ref="L104:Q104"/>
    <mergeCell ref="M105:N105"/>
    <mergeCell ref="O105:Q105"/>
    <mergeCell ref="L106:L107"/>
    <mergeCell ref="D72:F72"/>
    <mergeCell ref="G72:J72"/>
    <mergeCell ref="D73:F73"/>
    <mergeCell ref="G73:J73"/>
    <mergeCell ref="D74:F74"/>
    <mergeCell ref="G74:J74"/>
    <mergeCell ref="B86:B87"/>
    <mergeCell ref="C86:C87"/>
    <mergeCell ref="D86:D87"/>
    <mergeCell ref="F86:I86"/>
    <mergeCell ref="E18:F18"/>
    <mergeCell ref="G18:H18"/>
    <mergeCell ref="C19:D19"/>
    <mergeCell ref="E19:F19"/>
    <mergeCell ref="G19:H19"/>
    <mergeCell ref="G69:J69"/>
    <mergeCell ref="G66:J66"/>
    <mergeCell ref="G67:J67"/>
    <mergeCell ref="C22:D22"/>
    <mergeCell ref="C37:D37"/>
    <mergeCell ref="C38:D38"/>
    <mergeCell ref="C39:D39"/>
    <mergeCell ref="C40:D40"/>
    <mergeCell ref="C41:D41"/>
    <mergeCell ref="C42:D42"/>
    <mergeCell ref="C15:D15"/>
    <mergeCell ref="E15:F15"/>
    <mergeCell ref="G15:H15"/>
    <mergeCell ref="C16:D16"/>
    <mergeCell ref="E16:F16"/>
    <mergeCell ref="G16:H16"/>
    <mergeCell ref="C17:D17"/>
    <mergeCell ref="I12:N12"/>
    <mergeCell ref="D71:F71"/>
    <mergeCell ref="G71:J71"/>
    <mergeCell ref="D67:F67"/>
    <mergeCell ref="D66:F66"/>
    <mergeCell ref="C12:D12"/>
    <mergeCell ref="E12:F12"/>
    <mergeCell ref="G12:H12"/>
    <mergeCell ref="C13:D13"/>
    <mergeCell ref="E13:F13"/>
    <mergeCell ref="G13:H13"/>
    <mergeCell ref="C14:D14"/>
    <mergeCell ref="E14:F14"/>
    <mergeCell ref="G14:H14"/>
    <mergeCell ref="E17:F17"/>
    <mergeCell ref="G17:H17"/>
    <mergeCell ref="C18:D18"/>
    <mergeCell ref="B46:B47"/>
    <mergeCell ref="B58:B59"/>
    <mergeCell ref="B56:B57"/>
    <mergeCell ref="B54:B55"/>
    <mergeCell ref="B52:B53"/>
    <mergeCell ref="B50:B51"/>
    <mergeCell ref="B48:B49"/>
    <mergeCell ref="D70:F70"/>
    <mergeCell ref="G70:J70"/>
    <mergeCell ref="G62:J62"/>
    <mergeCell ref="G63:J63"/>
    <mergeCell ref="G64:J64"/>
    <mergeCell ref="G65:J65"/>
    <mergeCell ref="D62:F62"/>
    <mergeCell ref="D63:F63"/>
    <mergeCell ref="D64:F64"/>
    <mergeCell ref="D65:F65"/>
    <mergeCell ref="D68:F68"/>
    <mergeCell ref="G68:J68"/>
    <mergeCell ref="D69:F69"/>
    <mergeCell ref="B88:B90"/>
    <mergeCell ref="C88:C90"/>
    <mergeCell ref="D88:D90"/>
    <mergeCell ref="E88:E89"/>
    <mergeCell ref="F88:I88"/>
    <mergeCell ref="L80:Q80"/>
    <mergeCell ref="B81:B85"/>
    <mergeCell ref="C81:C85"/>
    <mergeCell ref="D81:D85"/>
    <mergeCell ref="F81:I81"/>
    <mergeCell ref="L81:Q85"/>
    <mergeCell ref="E82:E83"/>
    <mergeCell ref="F82:I82"/>
    <mergeCell ref="F83:I83"/>
    <mergeCell ref="F85:I85"/>
    <mergeCell ref="F84:I84"/>
    <mergeCell ref="F80:I80"/>
    <mergeCell ref="M94:N94"/>
    <mergeCell ref="O94:Q94"/>
    <mergeCell ref="M95:N95"/>
    <mergeCell ref="F91:I91"/>
    <mergeCell ref="L91:Q91"/>
    <mergeCell ref="K92:K95"/>
    <mergeCell ref="O95:Q95"/>
    <mergeCell ref="L96:Q98"/>
    <mergeCell ref="L86:Q87"/>
    <mergeCell ref="F87:I87"/>
    <mergeCell ref="L88:Q90"/>
    <mergeCell ref="F89:I89"/>
    <mergeCell ref="F90:I90"/>
    <mergeCell ref="F98:I98"/>
    <mergeCell ref="D75:F75"/>
    <mergeCell ref="G75:J75"/>
    <mergeCell ref="D76:F76"/>
    <mergeCell ref="G76:J76"/>
    <mergeCell ref="D77:F77"/>
    <mergeCell ref="G77:J77"/>
    <mergeCell ref="D92:D95"/>
    <mergeCell ref="E92:E95"/>
    <mergeCell ref="F92:I95"/>
    <mergeCell ref="J92:J95"/>
    <mergeCell ref="L99:Q99"/>
    <mergeCell ref="F109:I109"/>
    <mergeCell ref="B96:B98"/>
    <mergeCell ref="C96:C98"/>
    <mergeCell ref="D96:D98"/>
    <mergeCell ref="E96:E98"/>
    <mergeCell ref="F96:I96"/>
    <mergeCell ref="M106:N107"/>
    <mergeCell ref="O106:Q107"/>
    <mergeCell ref="J100:J101"/>
    <mergeCell ref="K100:K101"/>
    <mergeCell ref="B108:B110"/>
    <mergeCell ref="C108:C110"/>
    <mergeCell ref="D108:D110"/>
    <mergeCell ref="E108:E110"/>
    <mergeCell ref="F108:I108"/>
    <mergeCell ref="E106:E107"/>
    <mergeCell ref="B99:B107"/>
    <mergeCell ref="C99:C107"/>
    <mergeCell ref="D99:D107"/>
    <mergeCell ref="F99:I99"/>
    <mergeCell ref="C92:C95"/>
    <mergeCell ref="L92:Q92"/>
    <mergeCell ref="M93:N93"/>
    <mergeCell ref="O93:Q93"/>
    <mergeCell ref="E100:E101"/>
    <mergeCell ref="F100:I101"/>
    <mergeCell ref="F97:I97"/>
    <mergeCell ref="B123:B125"/>
    <mergeCell ref="C123:C125"/>
    <mergeCell ref="D123:D125"/>
    <mergeCell ref="E123:E125"/>
    <mergeCell ref="F123:I123"/>
    <mergeCell ref="L123:Q125"/>
    <mergeCell ref="F125:I125"/>
    <mergeCell ref="F124:I124"/>
    <mergeCell ref="F116:I116"/>
    <mergeCell ref="E102:E105"/>
    <mergeCell ref="F102:I103"/>
    <mergeCell ref="J102:J103"/>
    <mergeCell ref="K102:K103"/>
    <mergeCell ref="L102:Q102"/>
    <mergeCell ref="L100:Q101"/>
    <mergeCell ref="B111:B114"/>
    <mergeCell ref="C111:C114"/>
    <mergeCell ref="B128:B130"/>
    <mergeCell ref="C128:C130"/>
    <mergeCell ref="D128:D130"/>
    <mergeCell ref="E128:E130"/>
    <mergeCell ref="F128:I128"/>
    <mergeCell ref="L128:Q130"/>
    <mergeCell ref="F129:I129"/>
    <mergeCell ref="F130:I130"/>
    <mergeCell ref="F117:I117"/>
    <mergeCell ref="F127:I127"/>
    <mergeCell ref="B126:B127"/>
    <mergeCell ref="C126:C127"/>
    <mergeCell ref="D126:D127"/>
    <mergeCell ref="E126:E127"/>
    <mergeCell ref="F126:I126"/>
    <mergeCell ref="L126:Q127"/>
    <mergeCell ref="D115:D118"/>
    <mergeCell ref="B119:B120"/>
    <mergeCell ref="C119:C120"/>
    <mergeCell ref="D119:D120"/>
    <mergeCell ref="E119:E120"/>
    <mergeCell ref="F119:I119"/>
    <mergeCell ref="L119:Q120"/>
    <mergeCell ref="F120:I120"/>
    <mergeCell ref="E115:E118"/>
    <mergeCell ref="F115:I115"/>
    <mergeCell ref="E113:E114"/>
    <mergeCell ref="F113:I114"/>
    <mergeCell ref="J113:J114"/>
    <mergeCell ref="B115:B118"/>
    <mergeCell ref="C115:C118"/>
    <mergeCell ref="N113:P113"/>
    <mergeCell ref="N114:P114"/>
    <mergeCell ref="L115:Q118"/>
    <mergeCell ref="F118:I118"/>
    <mergeCell ref="D111:D114"/>
    <mergeCell ref="K113:K114"/>
    <mergeCell ref="E111:E112"/>
    <mergeCell ref="J111:J112"/>
    <mergeCell ref="F111:I112"/>
    <mergeCell ref="K111:K112"/>
    <mergeCell ref="L111:Q112"/>
  </mergeCells>
  <phoneticPr fontId="1" type="noConversion"/>
  <printOptions horizontalCentered="1"/>
  <pageMargins left="0" right="0" top="0.19685039370078741" bottom="0" header="0" footer="0"/>
  <pageSetup paperSize="9" scale="11" fitToHeight="2"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1:AE37"/>
  <sheetViews>
    <sheetView showGridLines="0" topLeftCell="B1" zoomScaleNormal="100" workbookViewId="0">
      <pane ySplit="3" topLeftCell="A13" activePane="bottomLeft" state="frozen"/>
      <selection pane="bottomLeft" activeCell="N14" sqref="N14:V14"/>
    </sheetView>
  </sheetViews>
  <sheetFormatPr defaultRowHeight="16.5"/>
  <cols>
    <col min="1" max="1" width="1.75" customWidth="1"/>
    <col min="2" max="2" width="6.875" style="203" customWidth="1"/>
    <col min="3" max="3" width="10.625" customWidth="1"/>
    <col min="4" max="4" width="12.875" customWidth="1"/>
    <col min="5" max="5" width="12.875" style="203" customWidth="1"/>
    <col min="6" max="6" width="8.875" customWidth="1"/>
    <col min="7" max="14" width="8.875" style="203" customWidth="1"/>
  </cols>
  <sheetData>
    <row r="1" spans="2:31" ht="4.5" customHeight="1"/>
    <row r="2" spans="2:31" ht="20.25">
      <c r="B2" s="204" t="s">
        <v>831</v>
      </c>
      <c r="C2" s="36"/>
      <c r="AA2" s="203"/>
    </row>
    <row r="3" spans="2:31" ht="29.25" customHeight="1">
      <c r="B3" s="337" t="s">
        <v>791</v>
      </c>
      <c r="C3" s="337" t="s">
        <v>395</v>
      </c>
      <c r="D3" s="338" t="s">
        <v>769</v>
      </c>
      <c r="E3" s="692" t="s">
        <v>773</v>
      </c>
      <c r="F3" s="692"/>
      <c r="G3" s="692"/>
      <c r="H3" s="692"/>
      <c r="I3" s="692"/>
      <c r="J3" s="692"/>
      <c r="K3" s="692"/>
      <c r="L3" s="692"/>
      <c r="M3" s="692"/>
      <c r="N3" s="692" t="s">
        <v>1077</v>
      </c>
      <c r="O3" s="692"/>
      <c r="P3" s="692"/>
      <c r="Q3" s="692"/>
      <c r="R3" s="692"/>
      <c r="S3" s="692"/>
      <c r="T3" s="692"/>
      <c r="U3" s="692"/>
      <c r="V3" s="693"/>
      <c r="W3" s="693" t="s">
        <v>1081</v>
      </c>
      <c r="X3" s="699"/>
      <c r="Y3" s="699"/>
      <c r="Z3" s="699"/>
      <c r="AA3" s="203"/>
      <c r="AB3" s="203"/>
      <c r="AC3" s="203"/>
      <c r="AD3" s="203"/>
      <c r="AE3" s="203"/>
    </row>
    <row r="4" spans="2:31" ht="54" customHeight="1">
      <c r="B4" s="334">
        <v>1</v>
      </c>
      <c r="C4" s="334" t="s">
        <v>768</v>
      </c>
      <c r="D4" s="335" t="s">
        <v>770</v>
      </c>
      <c r="E4" s="687" t="s">
        <v>776</v>
      </c>
      <c r="F4" s="688"/>
      <c r="G4" s="688"/>
      <c r="H4" s="688"/>
      <c r="I4" s="688"/>
      <c r="J4" s="688"/>
      <c r="K4" s="688"/>
      <c r="L4" s="688"/>
      <c r="M4" s="688"/>
      <c r="N4" s="691" t="s">
        <v>782</v>
      </c>
      <c r="O4" s="685"/>
      <c r="P4" s="685"/>
      <c r="Q4" s="685"/>
      <c r="R4" s="685"/>
      <c r="S4" s="685"/>
      <c r="T4" s="685"/>
      <c r="U4" s="685"/>
      <c r="V4" s="686"/>
      <c r="W4" s="696" t="s">
        <v>1082</v>
      </c>
      <c r="X4" s="697"/>
      <c r="Y4" s="697"/>
      <c r="Z4" s="698"/>
      <c r="AA4" s="203"/>
      <c r="AB4" s="203"/>
      <c r="AC4" s="203"/>
      <c r="AD4" s="203"/>
      <c r="AE4" s="203"/>
    </row>
    <row r="5" spans="2:31" ht="60.75" customHeight="1">
      <c r="B5" s="334">
        <v>2</v>
      </c>
      <c r="C5" s="334" t="s">
        <v>768</v>
      </c>
      <c r="D5" s="335" t="s">
        <v>771</v>
      </c>
      <c r="E5" s="687" t="s">
        <v>777</v>
      </c>
      <c r="F5" s="688"/>
      <c r="G5" s="688"/>
      <c r="H5" s="688"/>
      <c r="I5" s="688"/>
      <c r="J5" s="688"/>
      <c r="K5" s="688"/>
      <c r="L5" s="688"/>
      <c r="M5" s="688"/>
      <c r="N5" s="691" t="s">
        <v>1029</v>
      </c>
      <c r="O5" s="685"/>
      <c r="P5" s="685"/>
      <c r="Q5" s="685"/>
      <c r="R5" s="685"/>
      <c r="S5" s="685"/>
      <c r="T5" s="685"/>
      <c r="U5" s="685"/>
      <c r="V5" s="686"/>
      <c r="W5" s="696" t="s">
        <v>1082</v>
      </c>
      <c r="X5" s="697"/>
      <c r="Y5" s="697"/>
      <c r="Z5" s="698"/>
      <c r="AA5" s="203"/>
      <c r="AB5" s="203"/>
      <c r="AC5" s="203"/>
      <c r="AD5" s="203"/>
      <c r="AE5" s="203"/>
    </row>
    <row r="6" spans="2:31" ht="69" customHeight="1">
      <c r="B6" s="334">
        <v>3</v>
      </c>
      <c r="C6" s="334" t="s">
        <v>768</v>
      </c>
      <c r="D6" s="335" t="s">
        <v>771</v>
      </c>
      <c r="E6" s="687" t="s">
        <v>778</v>
      </c>
      <c r="F6" s="688"/>
      <c r="G6" s="688"/>
      <c r="H6" s="688"/>
      <c r="I6" s="688"/>
      <c r="J6" s="688"/>
      <c r="K6" s="688"/>
      <c r="L6" s="688"/>
      <c r="M6" s="688"/>
      <c r="N6" s="684" t="s">
        <v>1030</v>
      </c>
      <c r="O6" s="685"/>
      <c r="P6" s="685"/>
      <c r="Q6" s="685"/>
      <c r="R6" s="685"/>
      <c r="S6" s="685"/>
      <c r="T6" s="685"/>
      <c r="U6" s="685"/>
      <c r="V6" s="686"/>
      <c r="W6" s="696" t="s">
        <v>1082</v>
      </c>
      <c r="X6" s="697"/>
      <c r="Y6" s="697"/>
      <c r="Z6" s="698"/>
      <c r="AA6" s="203"/>
      <c r="AB6" s="203"/>
      <c r="AC6" s="203"/>
      <c r="AD6" s="203"/>
      <c r="AE6" s="203"/>
    </row>
    <row r="7" spans="2:31" ht="85.5" customHeight="1">
      <c r="B7" s="334">
        <v>4</v>
      </c>
      <c r="C7" s="334" t="s">
        <v>396</v>
      </c>
      <c r="D7" s="335" t="s">
        <v>772</v>
      </c>
      <c r="E7" s="687" t="s">
        <v>1018</v>
      </c>
      <c r="F7" s="688"/>
      <c r="G7" s="688"/>
      <c r="H7" s="688"/>
      <c r="I7" s="688"/>
      <c r="J7" s="688"/>
      <c r="K7" s="688"/>
      <c r="L7" s="688"/>
      <c r="M7" s="688"/>
      <c r="N7" s="691" t="s">
        <v>781</v>
      </c>
      <c r="O7" s="685"/>
      <c r="P7" s="685"/>
      <c r="Q7" s="685"/>
      <c r="R7" s="685"/>
      <c r="S7" s="685"/>
      <c r="T7" s="685"/>
      <c r="U7" s="685"/>
      <c r="V7" s="686"/>
      <c r="W7" s="696" t="s">
        <v>1082</v>
      </c>
      <c r="X7" s="697"/>
      <c r="Y7" s="697"/>
      <c r="Z7" s="698"/>
      <c r="AA7" s="203"/>
      <c r="AB7" s="203"/>
      <c r="AC7" s="203"/>
      <c r="AD7" s="203"/>
      <c r="AE7" s="203"/>
    </row>
    <row r="8" spans="2:31" s="203" customFormat="1" ht="56.25" customHeight="1">
      <c r="B8" s="334">
        <v>5</v>
      </c>
      <c r="C8" s="334" t="s">
        <v>774</v>
      </c>
      <c r="D8" s="335" t="s">
        <v>786</v>
      </c>
      <c r="E8" s="694" t="s">
        <v>788</v>
      </c>
      <c r="F8" s="688"/>
      <c r="G8" s="688"/>
      <c r="H8" s="688"/>
      <c r="I8" s="688"/>
      <c r="J8" s="688"/>
      <c r="K8" s="688"/>
      <c r="L8" s="688"/>
      <c r="M8" s="688"/>
      <c r="N8" s="695" t="s">
        <v>787</v>
      </c>
      <c r="O8" s="685"/>
      <c r="P8" s="685"/>
      <c r="Q8" s="685"/>
      <c r="R8" s="685"/>
      <c r="S8" s="685"/>
      <c r="T8" s="685"/>
      <c r="U8" s="685"/>
      <c r="V8" s="686"/>
      <c r="W8" s="696" t="s">
        <v>1082</v>
      </c>
      <c r="X8" s="697"/>
      <c r="Y8" s="697"/>
      <c r="Z8" s="698"/>
    </row>
    <row r="9" spans="2:31" ht="63" customHeight="1">
      <c r="B9" s="334">
        <v>6</v>
      </c>
      <c r="C9" s="334" t="s">
        <v>774</v>
      </c>
      <c r="D9" s="335" t="s">
        <v>775</v>
      </c>
      <c r="E9" s="687" t="s">
        <v>779</v>
      </c>
      <c r="F9" s="688"/>
      <c r="G9" s="688"/>
      <c r="H9" s="688"/>
      <c r="I9" s="688"/>
      <c r="J9" s="688"/>
      <c r="K9" s="688"/>
      <c r="L9" s="688"/>
      <c r="M9" s="688"/>
      <c r="N9" s="684" t="s">
        <v>1035</v>
      </c>
      <c r="O9" s="685"/>
      <c r="P9" s="685"/>
      <c r="Q9" s="685"/>
      <c r="R9" s="685"/>
      <c r="S9" s="685"/>
      <c r="T9" s="685"/>
      <c r="U9" s="685"/>
      <c r="V9" s="686"/>
      <c r="W9" s="696" t="s">
        <v>1083</v>
      </c>
      <c r="X9" s="697"/>
      <c r="Y9" s="697"/>
      <c r="Z9" s="698"/>
      <c r="AA9" s="203"/>
      <c r="AB9" s="203"/>
      <c r="AC9" s="203"/>
      <c r="AD9" s="203"/>
      <c r="AE9" s="203"/>
    </row>
    <row r="10" spans="2:31" ht="77.25" customHeight="1">
      <c r="B10" s="334">
        <v>7</v>
      </c>
      <c r="C10" s="334" t="s">
        <v>774</v>
      </c>
      <c r="D10" s="335" t="s">
        <v>775</v>
      </c>
      <c r="E10" s="687" t="s">
        <v>780</v>
      </c>
      <c r="F10" s="688"/>
      <c r="G10" s="688"/>
      <c r="H10" s="688"/>
      <c r="I10" s="688"/>
      <c r="J10" s="688"/>
      <c r="K10" s="688"/>
      <c r="L10" s="688"/>
      <c r="M10" s="688"/>
      <c r="N10" s="684" t="s">
        <v>790</v>
      </c>
      <c r="O10" s="685"/>
      <c r="P10" s="685"/>
      <c r="Q10" s="685"/>
      <c r="R10" s="685"/>
      <c r="S10" s="685"/>
      <c r="T10" s="685"/>
      <c r="U10" s="685"/>
      <c r="V10" s="686"/>
      <c r="W10" s="696" t="s">
        <v>1084</v>
      </c>
      <c r="X10" s="697"/>
      <c r="Y10" s="697"/>
      <c r="Z10" s="698"/>
      <c r="AA10" s="203"/>
      <c r="AB10" s="203"/>
      <c r="AC10" s="203"/>
      <c r="AD10" s="203"/>
      <c r="AE10" s="203"/>
    </row>
    <row r="11" spans="2:31" ht="89.25" customHeight="1">
      <c r="B11" s="334">
        <v>8</v>
      </c>
      <c r="C11" s="334" t="s">
        <v>784</v>
      </c>
      <c r="D11" s="335" t="s">
        <v>783</v>
      </c>
      <c r="E11" s="687" t="s">
        <v>966</v>
      </c>
      <c r="F11" s="688"/>
      <c r="G11" s="688"/>
      <c r="H11" s="688"/>
      <c r="I11" s="688"/>
      <c r="J11" s="688"/>
      <c r="K11" s="688"/>
      <c r="L11" s="688"/>
      <c r="M11" s="688"/>
      <c r="N11" s="689" t="s">
        <v>785</v>
      </c>
      <c r="O11" s="688"/>
      <c r="P11" s="688"/>
      <c r="Q11" s="688"/>
      <c r="R11" s="688"/>
      <c r="S11" s="688"/>
      <c r="T11" s="688"/>
      <c r="U11" s="688"/>
      <c r="V11" s="690"/>
      <c r="W11" s="696" t="s">
        <v>1085</v>
      </c>
      <c r="X11" s="697"/>
      <c r="Y11" s="697"/>
      <c r="Z11" s="698"/>
      <c r="AA11" s="203"/>
      <c r="AB11" s="203"/>
      <c r="AC11" s="203"/>
      <c r="AD11" s="203"/>
      <c r="AE11" s="203"/>
    </row>
    <row r="12" spans="2:31" ht="119.25" customHeight="1">
      <c r="B12" s="334">
        <v>9</v>
      </c>
      <c r="C12" s="334" t="s">
        <v>965</v>
      </c>
      <c r="D12" s="336" t="s">
        <v>789</v>
      </c>
      <c r="E12" s="683" t="s">
        <v>1076</v>
      </c>
      <c r="F12" s="680"/>
      <c r="G12" s="680"/>
      <c r="H12" s="680"/>
      <c r="I12" s="680"/>
      <c r="J12" s="680"/>
      <c r="K12" s="680"/>
      <c r="L12" s="680"/>
      <c r="M12" s="680"/>
      <c r="N12" s="679" t="s">
        <v>1031</v>
      </c>
      <c r="O12" s="680"/>
      <c r="P12" s="680"/>
      <c r="Q12" s="680"/>
      <c r="R12" s="680"/>
      <c r="S12" s="680"/>
      <c r="T12" s="680"/>
      <c r="U12" s="680"/>
      <c r="V12" s="681"/>
      <c r="W12" s="696" t="s">
        <v>1086</v>
      </c>
      <c r="X12" s="697"/>
      <c r="Y12" s="697"/>
      <c r="Z12" s="698"/>
      <c r="AA12" s="203"/>
      <c r="AB12" s="203"/>
      <c r="AC12" s="203"/>
      <c r="AD12" s="203"/>
      <c r="AE12" s="203"/>
    </row>
    <row r="13" spans="2:31" ht="78" customHeight="1">
      <c r="B13" s="334">
        <v>10</v>
      </c>
      <c r="C13" s="334" t="s">
        <v>84</v>
      </c>
      <c r="D13" s="324" t="s">
        <v>792</v>
      </c>
      <c r="E13" s="683" t="s">
        <v>959</v>
      </c>
      <c r="F13" s="680"/>
      <c r="G13" s="680"/>
      <c r="H13" s="680"/>
      <c r="I13" s="680"/>
      <c r="J13" s="680"/>
      <c r="K13" s="680"/>
      <c r="L13" s="680"/>
      <c r="M13" s="680"/>
      <c r="N13" s="679" t="s">
        <v>1087</v>
      </c>
      <c r="O13" s="680"/>
      <c r="P13" s="680"/>
      <c r="Q13" s="680"/>
      <c r="R13" s="680"/>
      <c r="S13" s="680"/>
      <c r="T13" s="680"/>
      <c r="U13" s="680"/>
      <c r="V13" s="681"/>
      <c r="W13" s="696"/>
      <c r="X13" s="697"/>
      <c r="Y13" s="697"/>
      <c r="Z13" s="698"/>
      <c r="AA13" s="203"/>
      <c r="AB13" s="203"/>
      <c r="AC13" s="203"/>
      <c r="AD13" s="203"/>
      <c r="AE13" s="203"/>
    </row>
    <row r="14" spans="2:31" ht="96" customHeight="1">
      <c r="B14" s="334">
        <v>11</v>
      </c>
      <c r="C14" s="334" t="s">
        <v>793</v>
      </c>
      <c r="D14" s="324" t="s">
        <v>794</v>
      </c>
      <c r="E14" s="683" t="s">
        <v>1033</v>
      </c>
      <c r="F14" s="680"/>
      <c r="G14" s="680"/>
      <c r="H14" s="680"/>
      <c r="I14" s="680"/>
      <c r="J14" s="680"/>
      <c r="K14" s="680"/>
      <c r="L14" s="680"/>
      <c r="M14" s="680"/>
      <c r="N14" s="679" t="s">
        <v>1034</v>
      </c>
      <c r="O14" s="680"/>
      <c r="P14" s="680"/>
      <c r="Q14" s="680"/>
      <c r="R14" s="680"/>
      <c r="S14" s="680"/>
      <c r="T14" s="680"/>
      <c r="U14" s="680"/>
      <c r="V14" s="681"/>
      <c r="W14" s="696"/>
      <c r="X14" s="697"/>
      <c r="Y14" s="697"/>
      <c r="Z14" s="698"/>
      <c r="AA14" s="203"/>
      <c r="AB14" s="203"/>
      <c r="AC14" s="203"/>
      <c r="AD14" s="203"/>
      <c r="AE14" s="203"/>
    </row>
    <row r="15" spans="2:31" s="203" customFormat="1" ht="96" customHeight="1">
      <c r="B15" s="334">
        <v>12</v>
      </c>
      <c r="C15" s="334" t="s">
        <v>956</v>
      </c>
      <c r="D15" s="382" t="s">
        <v>957</v>
      </c>
      <c r="E15" s="683" t="s">
        <v>1032</v>
      </c>
      <c r="F15" s="680"/>
      <c r="G15" s="680"/>
      <c r="H15" s="680"/>
      <c r="I15" s="680"/>
      <c r="J15" s="680"/>
      <c r="K15" s="680"/>
      <c r="L15" s="680"/>
      <c r="M15" s="680"/>
      <c r="N15" s="682" t="s">
        <v>1028</v>
      </c>
      <c r="O15" s="680"/>
      <c r="P15" s="680"/>
      <c r="Q15" s="680"/>
      <c r="R15" s="680"/>
      <c r="S15" s="680"/>
      <c r="T15" s="680"/>
      <c r="U15" s="680"/>
      <c r="V15" s="681"/>
      <c r="W15" s="696"/>
      <c r="X15" s="697"/>
      <c r="Y15" s="697"/>
      <c r="Z15" s="698"/>
    </row>
    <row r="16" spans="2:31">
      <c r="AA16" s="203"/>
      <c r="AB16" s="203"/>
      <c r="AC16" s="203"/>
      <c r="AD16" s="203"/>
      <c r="AE16" s="203"/>
    </row>
    <row r="17" spans="3:26">
      <c r="C17" s="203"/>
      <c r="D17" s="203"/>
      <c r="F17" s="342"/>
      <c r="G17" s="342"/>
      <c r="H17" s="342"/>
      <c r="I17" s="342"/>
      <c r="J17" s="342"/>
      <c r="K17" s="342"/>
      <c r="L17" s="342"/>
      <c r="M17" s="342"/>
      <c r="N17" s="342"/>
      <c r="O17" s="342"/>
      <c r="P17" s="342"/>
      <c r="Q17" s="342"/>
      <c r="R17" s="342"/>
      <c r="S17" s="342"/>
      <c r="T17" s="342"/>
      <c r="U17" s="342"/>
      <c r="V17" s="342"/>
      <c r="W17" s="203"/>
      <c r="X17" s="203"/>
      <c r="Y17" s="203"/>
      <c r="Z17" s="203"/>
    </row>
    <row r="18" spans="3:26">
      <c r="C18" s="203"/>
      <c r="D18" s="203"/>
      <c r="F18" s="342"/>
      <c r="G18" s="342"/>
      <c r="H18" s="342"/>
      <c r="I18" s="342"/>
      <c r="J18" s="342"/>
      <c r="K18" s="342"/>
      <c r="L18" s="342"/>
      <c r="M18" s="342"/>
      <c r="N18" s="342"/>
      <c r="O18" s="342"/>
      <c r="P18" s="342"/>
      <c r="Q18" s="342"/>
      <c r="R18" s="342"/>
      <c r="S18" s="342"/>
      <c r="T18" s="342"/>
      <c r="U18" s="342"/>
      <c r="V18" s="342"/>
      <c r="W18" s="203"/>
      <c r="X18" s="203"/>
      <c r="Y18" s="203"/>
      <c r="Z18" s="203"/>
    </row>
    <row r="19" spans="3:26">
      <c r="C19" s="203"/>
      <c r="D19" s="203"/>
      <c r="F19" s="203"/>
      <c r="O19" s="203"/>
      <c r="P19" s="203"/>
      <c r="Q19" s="203"/>
      <c r="R19" s="203"/>
      <c r="S19" s="203"/>
      <c r="W19" s="203"/>
      <c r="X19" s="203"/>
      <c r="Y19" s="203"/>
      <c r="Z19" s="203"/>
    </row>
    <row r="20" spans="3:26">
      <c r="C20" s="203"/>
      <c r="D20" s="203"/>
      <c r="F20" s="203"/>
      <c r="O20" s="203"/>
      <c r="P20" s="203"/>
      <c r="Q20" s="203"/>
      <c r="R20" s="203"/>
      <c r="S20" s="203"/>
      <c r="W20" s="203"/>
      <c r="X20" s="203"/>
      <c r="Y20" s="203"/>
      <c r="Z20" s="203"/>
    </row>
    <row r="21" spans="3:26" ht="22.5" customHeight="1">
      <c r="C21" s="203"/>
      <c r="D21" s="203"/>
      <c r="F21" s="203"/>
      <c r="O21" s="203"/>
      <c r="P21" s="203"/>
      <c r="Q21" s="203"/>
      <c r="R21" s="203"/>
      <c r="S21" s="203"/>
    </row>
    <row r="22" spans="3:26" ht="22.5" customHeight="1">
      <c r="C22" s="203"/>
      <c r="D22" s="203"/>
      <c r="F22" s="203"/>
      <c r="O22" s="203"/>
      <c r="P22" s="203"/>
      <c r="Q22" s="203"/>
      <c r="R22" s="203"/>
      <c r="S22" s="203"/>
    </row>
    <row r="23" spans="3:26" ht="22.5" customHeight="1">
      <c r="C23" s="203"/>
      <c r="D23" s="203"/>
      <c r="F23" s="203"/>
      <c r="O23" s="203"/>
      <c r="P23" s="203"/>
      <c r="Q23" s="203"/>
      <c r="R23" s="203"/>
      <c r="S23" s="203"/>
    </row>
    <row r="24" spans="3:26" ht="22.5" customHeight="1">
      <c r="C24" s="203"/>
      <c r="D24" s="203"/>
      <c r="F24" s="203"/>
      <c r="O24" s="203"/>
      <c r="P24" s="203"/>
      <c r="Q24" s="203"/>
      <c r="R24" s="203"/>
      <c r="S24" s="203"/>
    </row>
    <row r="25" spans="3:26" ht="22.5" customHeight="1">
      <c r="C25" s="203"/>
      <c r="D25" s="203"/>
      <c r="F25" s="203"/>
      <c r="O25" s="203"/>
      <c r="P25" s="203"/>
      <c r="Q25" s="203"/>
      <c r="R25" s="203"/>
      <c r="S25" s="203"/>
    </row>
    <row r="26" spans="3:26" ht="22.5" customHeight="1">
      <c r="C26" s="203"/>
      <c r="D26" s="203"/>
      <c r="F26" s="203"/>
      <c r="O26" s="203"/>
      <c r="P26" s="203"/>
      <c r="Q26" s="203"/>
      <c r="R26" s="203"/>
      <c r="S26" s="203"/>
    </row>
    <row r="27" spans="3:26" ht="22.5" customHeight="1">
      <c r="C27" s="203"/>
      <c r="D27" s="203"/>
      <c r="F27" s="203"/>
      <c r="O27" s="203"/>
      <c r="P27" s="203"/>
      <c r="Q27" s="203"/>
      <c r="R27" s="203"/>
      <c r="S27" s="203"/>
    </row>
    <row r="28" spans="3:26" ht="22.5" customHeight="1">
      <c r="C28" s="203"/>
      <c r="D28" s="203"/>
      <c r="F28" s="203"/>
      <c r="O28" s="203"/>
      <c r="P28" s="203"/>
      <c r="Q28" s="203"/>
      <c r="R28" s="203"/>
      <c r="S28" s="203"/>
    </row>
    <row r="29" spans="3:26" ht="22.5" customHeight="1">
      <c r="C29" s="203"/>
      <c r="D29" s="203"/>
      <c r="F29" s="203"/>
      <c r="O29" s="203"/>
      <c r="P29" s="203"/>
      <c r="Q29" s="203"/>
      <c r="R29" s="203"/>
      <c r="S29" s="203"/>
    </row>
    <row r="30" spans="3:26" ht="22.5" customHeight="1">
      <c r="C30" s="203"/>
      <c r="D30" s="203"/>
      <c r="F30" s="203"/>
      <c r="O30" s="203"/>
      <c r="P30" s="203"/>
      <c r="Q30" s="203"/>
      <c r="R30" s="203"/>
      <c r="S30" s="203"/>
    </row>
    <row r="31" spans="3:26" ht="22.5" customHeight="1">
      <c r="C31" s="203"/>
      <c r="D31" s="203"/>
      <c r="F31" s="203"/>
      <c r="O31" s="203"/>
      <c r="P31" s="203"/>
      <c r="Q31" s="203"/>
      <c r="R31" s="203"/>
    </row>
    <row r="32" spans="3:26">
      <c r="C32" s="203"/>
      <c r="D32" s="203"/>
      <c r="F32" s="203"/>
      <c r="O32" s="203"/>
      <c r="P32" s="203"/>
      <c r="Q32" s="203"/>
      <c r="R32" s="203"/>
      <c r="S32" s="203"/>
    </row>
    <row r="33" spans="3:19">
      <c r="C33" s="203"/>
      <c r="D33" s="203"/>
      <c r="F33" s="203"/>
      <c r="O33" s="203"/>
      <c r="P33" s="203"/>
      <c r="Q33" s="203"/>
      <c r="R33" s="203"/>
      <c r="S33" s="203"/>
    </row>
    <row r="34" spans="3:19">
      <c r="C34" s="203"/>
      <c r="D34" s="203"/>
      <c r="F34" s="203"/>
      <c r="O34" s="203"/>
      <c r="P34" s="203"/>
      <c r="Q34" s="203"/>
      <c r="R34" s="203"/>
      <c r="S34" s="203"/>
    </row>
    <row r="35" spans="3:19">
      <c r="C35" s="203"/>
      <c r="D35" s="203"/>
      <c r="F35" s="203"/>
      <c r="O35" s="203"/>
      <c r="P35" s="203"/>
      <c r="Q35" s="203"/>
      <c r="R35" s="203"/>
      <c r="S35" s="203"/>
    </row>
    <row r="36" spans="3:19">
      <c r="C36" s="203"/>
      <c r="D36" s="203"/>
      <c r="F36" s="203"/>
      <c r="O36" s="203"/>
      <c r="P36" s="203"/>
      <c r="Q36" s="203"/>
      <c r="R36" s="203"/>
      <c r="S36" s="203"/>
    </row>
    <row r="37" spans="3:19">
      <c r="C37" s="203"/>
      <c r="D37" s="203"/>
      <c r="F37" s="203"/>
      <c r="O37" s="203"/>
      <c r="P37" s="203"/>
      <c r="Q37" s="203"/>
      <c r="R37" s="203"/>
      <c r="S37" s="203"/>
    </row>
  </sheetData>
  <mergeCells count="39">
    <mergeCell ref="W3:Z3"/>
    <mergeCell ref="W7:Z7"/>
    <mergeCell ref="W8:Z8"/>
    <mergeCell ref="W9:Z9"/>
    <mergeCell ref="W10:Z10"/>
    <mergeCell ref="W4:Z4"/>
    <mergeCell ref="W5:Z5"/>
    <mergeCell ref="W6:Z6"/>
    <mergeCell ref="W11:Z11"/>
    <mergeCell ref="W12:Z12"/>
    <mergeCell ref="W13:Z13"/>
    <mergeCell ref="W14:Z14"/>
    <mergeCell ref="W15:Z15"/>
    <mergeCell ref="E6:M6"/>
    <mergeCell ref="N6:V6"/>
    <mergeCell ref="E7:M7"/>
    <mergeCell ref="N7:V7"/>
    <mergeCell ref="E9:M9"/>
    <mergeCell ref="N9:V9"/>
    <mergeCell ref="E8:M8"/>
    <mergeCell ref="N8:V8"/>
    <mergeCell ref="N4:V4"/>
    <mergeCell ref="N3:V3"/>
    <mergeCell ref="E4:M4"/>
    <mergeCell ref="E3:M3"/>
    <mergeCell ref="E5:M5"/>
    <mergeCell ref="N5:V5"/>
    <mergeCell ref="N10:V10"/>
    <mergeCell ref="E11:M11"/>
    <mergeCell ref="N11:V11"/>
    <mergeCell ref="E12:M12"/>
    <mergeCell ref="N12:V12"/>
    <mergeCell ref="E10:M10"/>
    <mergeCell ref="N14:V14"/>
    <mergeCell ref="N15:V15"/>
    <mergeCell ref="E13:M13"/>
    <mergeCell ref="E15:M15"/>
    <mergeCell ref="N13:V13"/>
    <mergeCell ref="E14:M14"/>
  </mergeCells>
  <phoneticPr fontId="1" type="noConversion"/>
  <conditionalFormatting sqref="C21:K31 C20 C32:C34">
    <cfRule type="duplicateValues" dxfId="0" priority="1"/>
  </conditionalFormatting>
  <pageMargins left="0.7" right="0.7" top="0.75" bottom="0.75" header="0.3" footer="0.3"/>
  <pageSetup paperSize="256"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filterMode="1"/>
  <dimension ref="A1:BD95"/>
  <sheetViews>
    <sheetView showGridLines="0" tabSelected="1" zoomScaleNormal="100" workbookViewId="0">
      <pane ySplit="5" topLeftCell="A64" activePane="bottomLeft" state="frozen"/>
      <selection pane="bottomLeft" activeCell="B2" sqref="B2:V95"/>
    </sheetView>
  </sheetViews>
  <sheetFormatPr defaultRowHeight="16.5" outlineLevelCol="1"/>
  <cols>
    <col min="1" max="1" width="1.5" customWidth="1"/>
    <col min="2" max="2" width="12.125" customWidth="1"/>
    <col min="3" max="3" width="6.75" customWidth="1"/>
    <col min="11" max="19" width="9.125" customWidth="1"/>
    <col min="20" max="20" width="12.5" customWidth="1"/>
    <col min="21" max="21" width="8.625" customWidth="1"/>
    <col min="22" max="22" width="31.625" bestFit="1" customWidth="1"/>
    <col min="23" max="32" width="13.125" hidden="1" customWidth="1" outlineLevel="1"/>
    <col min="33" max="34" width="13.125" customWidth="1" outlineLevel="1"/>
    <col min="35" max="36" width="13.125" customWidth="1"/>
    <col min="37" max="37" width="14.25" customWidth="1"/>
    <col min="38" max="41" width="13.125" style="203" customWidth="1"/>
    <col min="42" max="42" width="13.125" customWidth="1"/>
    <col min="43" max="56" width="13.125" style="203" customWidth="1"/>
  </cols>
  <sheetData>
    <row r="1" spans="1:56" ht="4.9000000000000004" customHeight="1">
      <c r="A1">
        <v>2</v>
      </c>
    </row>
    <row r="2" spans="1:56" ht="26.25">
      <c r="B2" s="1" t="s">
        <v>0</v>
      </c>
    </row>
    <row r="3" spans="1:56" ht="20.25">
      <c r="B3" s="2" t="s">
        <v>1012</v>
      </c>
    </row>
    <row r="4" spans="1:56">
      <c r="B4" s="703" t="s">
        <v>13</v>
      </c>
      <c r="C4" s="705" t="s">
        <v>230</v>
      </c>
      <c r="D4" s="705" t="s">
        <v>267</v>
      </c>
      <c r="E4" s="705" t="s">
        <v>14</v>
      </c>
      <c r="F4" s="705" t="s">
        <v>15</v>
      </c>
      <c r="G4" s="705" t="s">
        <v>171</v>
      </c>
      <c r="H4" s="711" t="s">
        <v>16</v>
      </c>
      <c r="I4" s="712"/>
      <c r="J4" s="712"/>
      <c r="K4" s="712"/>
      <c r="L4" s="712"/>
      <c r="M4" s="712"/>
      <c r="N4" s="712"/>
      <c r="O4" s="712"/>
      <c r="P4" s="712"/>
      <c r="Q4" s="712"/>
      <c r="R4" s="712"/>
      <c r="S4" s="712"/>
      <c r="T4" s="707"/>
      <c r="U4" s="709" t="s">
        <v>219</v>
      </c>
      <c r="V4" s="707" t="s">
        <v>660</v>
      </c>
      <c r="W4" s="700" t="s">
        <v>17</v>
      </c>
      <c r="X4" s="701"/>
      <c r="Y4" s="701"/>
      <c r="Z4" s="701"/>
      <c r="AA4" s="701"/>
      <c r="AB4" s="701"/>
      <c r="AC4" s="701"/>
      <c r="AD4" s="701"/>
      <c r="AE4" s="701"/>
      <c r="AF4" s="701"/>
      <c r="AG4" s="701"/>
      <c r="AH4" s="701"/>
      <c r="AI4" s="701"/>
      <c r="AJ4" s="701"/>
      <c r="AK4" s="701"/>
      <c r="AL4" s="701"/>
      <c r="AM4" s="701"/>
      <c r="AN4" s="701"/>
      <c r="AO4" s="701"/>
      <c r="AP4" s="701"/>
      <c r="AQ4" s="701"/>
      <c r="AR4" s="701"/>
      <c r="AS4" s="701"/>
      <c r="AT4" s="701"/>
      <c r="AU4" s="701"/>
      <c r="AV4" s="701"/>
      <c r="AW4" s="701"/>
      <c r="AX4" s="701"/>
      <c r="AY4" s="701"/>
      <c r="AZ4" s="701"/>
      <c r="BA4" s="701"/>
      <c r="BB4" s="701"/>
      <c r="BC4" s="701"/>
      <c r="BD4" s="702"/>
    </row>
    <row r="5" spans="1:56">
      <c r="B5" s="704"/>
      <c r="C5" s="706"/>
      <c r="D5" s="706"/>
      <c r="E5" s="706"/>
      <c r="F5" s="706"/>
      <c r="G5" s="706"/>
      <c r="H5" s="713"/>
      <c r="I5" s="714"/>
      <c r="J5" s="714"/>
      <c r="K5" s="714"/>
      <c r="L5" s="714"/>
      <c r="M5" s="714"/>
      <c r="N5" s="714"/>
      <c r="O5" s="714"/>
      <c r="P5" s="714"/>
      <c r="Q5" s="714"/>
      <c r="R5" s="714"/>
      <c r="S5" s="714"/>
      <c r="T5" s="708"/>
      <c r="U5" s="710"/>
      <c r="V5" s="708"/>
      <c r="W5" s="4" t="s">
        <v>18</v>
      </c>
      <c r="X5" s="5" t="s">
        <v>19</v>
      </c>
      <c r="Y5" s="5" t="s">
        <v>20</v>
      </c>
      <c r="Z5" s="5" t="s">
        <v>21</v>
      </c>
      <c r="AA5" s="5" t="s">
        <v>22</v>
      </c>
      <c r="AB5" s="5" t="s">
        <v>23</v>
      </c>
      <c r="AC5" s="6" t="s">
        <v>24</v>
      </c>
      <c r="AD5" s="6" t="s">
        <v>25</v>
      </c>
      <c r="AE5" s="6" t="s">
        <v>26</v>
      </c>
      <c r="AF5" s="6" t="s">
        <v>27</v>
      </c>
      <c r="AG5" s="6" t="s">
        <v>28</v>
      </c>
      <c r="AH5" s="7" t="s">
        <v>29</v>
      </c>
      <c r="AI5" s="7" t="s">
        <v>30</v>
      </c>
      <c r="AJ5" s="7" t="s">
        <v>397</v>
      </c>
      <c r="AK5" s="7" t="s">
        <v>398</v>
      </c>
      <c r="AL5" s="7" t="s">
        <v>399</v>
      </c>
      <c r="AM5" s="7" t="s">
        <v>758</v>
      </c>
      <c r="AN5" s="7" t="s">
        <v>759</v>
      </c>
      <c r="AO5" s="7" t="s">
        <v>760</v>
      </c>
      <c r="AP5" s="7" t="s">
        <v>761</v>
      </c>
      <c r="AQ5" s="7" t="s">
        <v>858</v>
      </c>
      <c r="AR5" s="7" t="s">
        <v>803</v>
      </c>
      <c r="AS5" s="7" t="s">
        <v>804</v>
      </c>
      <c r="AT5" s="7" t="s">
        <v>805</v>
      </c>
      <c r="AU5" s="7" t="s">
        <v>806</v>
      </c>
      <c r="AV5" s="7" t="s">
        <v>808</v>
      </c>
      <c r="AW5" s="7" t="s">
        <v>809</v>
      </c>
      <c r="AX5" s="7" t="s">
        <v>810</v>
      </c>
      <c r="AY5" s="7" t="s">
        <v>811</v>
      </c>
      <c r="AZ5" s="7" t="s">
        <v>859</v>
      </c>
      <c r="BA5" s="7" t="s">
        <v>824</v>
      </c>
      <c r="BB5" s="7" t="s">
        <v>825</v>
      </c>
      <c r="BC5" s="7" t="s">
        <v>826</v>
      </c>
      <c r="BD5" s="7" t="s">
        <v>826</v>
      </c>
    </row>
    <row r="6" spans="1:56" ht="24.95" hidden="1" customHeight="1">
      <c r="B6" s="234">
        <v>1</v>
      </c>
      <c r="C6" s="268" t="s">
        <v>232</v>
      </c>
      <c r="D6" s="268" t="s">
        <v>165</v>
      </c>
      <c r="E6" s="269" t="s">
        <v>31</v>
      </c>
      <c r="F6" s="269" t="s">
        <v>32</v>
      </c>
      <c r="G6" s="270"/>
      <c r="H6" s="271" t="s">
        <v>33</v>
      </c>
      <c r="I6" s="272"/>
      <c r="J6" s="272"/>
      <c r="K6" s="272"/>
      <c r="L6" s="272"/>
      <c r="M6" s="272"/>
      <c r="N6" s="272"/>
      <c r="O6" s="272"/>
      <c r="P6" s="272"/>
      <c r="Q6" s="272"/>
      <c r="R6" s="272"/>
      <c r="S6" s="272"/>
      <c r="T6" s="272"/>
      <c r="U6" s="88"/>
      <c r="V6" s="89" t="s">
        <v>34</v>
      </c>
      <c r="W6" s="8"/>
      <c r="X6" s="9"/>
      <c r="Y6" s="9"/>
      <c r="Z6" s="9"/>
      <c r="AA6" s="9"/>
      <c r="AB6" s="9"/>
      <c r="AC6" s="9"/>
      <c r="AD6" s="9"/>
      <c r="AE6" s="9"/>
      <c r="AF6" s="9"/>
      <c r="AG6" s="9"/>
      <c r="AH6" s="9"/>
      <c r="AI6" s="10"/>
      <c r="AJ6" s="10"/>
      <c r="AK6" s="10"/>
      <c r="AL6" s="10"/>
      <c r="AM6" s="10"/>
      <c r="AN6" s="10"/>
      <c r="AO6" s="10"/>
      <c r="AP6" s="10"/>
      <c r="AQ6" s="10"/>
      <c r="AR6" s="10"/>
      <c r="AS6" s="10"/>
      <c r="AT6" s="10"/>
      <c r="AU6" s="10"/>
      <c r="AV6" s="10"/>
      <c r="AW6" s="10"/>
      <c r="AX6" s="10"/>
      <c r="AY6" s="10"/>
      <c r="AZ6" s="10"/>
      <c r="BA6" s="10"/>
      <c r="BB6" s="10"/>
      <c r="BC6" s="10"/>
      <c r="BD6" s="10"/>
    </row>
    <row r="7" spans="1:56" ht="24.95" hidden="1" customHeight="1">
      <c r="B7" s="234">
        <f>+B6+1</f>
        <v>2</v>
      </c>
      <c r="C7" s="268" t="s">
        <v>232</v>
      </c>
      <c r="D7" s="268" t="s">
        <v>224</v>
      </c>
      <c r="E7" s="269" t="s">
        <v>35</v>
      </c>
      <c r="F7" s="269" t="s">
        <v>36</v>
      </c>
      <c r="G7" s="270"/>
      <c r="H7" s="271" t="s">
        <v>37</v>
      </c>
      <c r="I7" s="272"/>
      <c r="J7" s="272"/>
      <c r="K7" s="272"/>
      <c r="L7" s="272"/>
      <c r="M7" s="272"/>
      <c r="N7" s="272"/>
      <c r="O7" s="272"/>
      <c r="P7" s="272"/>
      <c r="Q7" s="272"/>
      <c r="R7" s="272"/>
      <c r="S7" s="272"/>
      <c r="T7" s="273"/>
      <c r="U7" s="90"/>
      <c r="V7" s="89" t="s">
        <v>34</v>
      </c>
      <c r="W7" s="8"/>
      <c r="X7" s="9"/>
      <c r="Y7" s="9"/>
      <c r="Z7" s="9"/>
      <c r="AA7" s="9"/>
      <c r="AB7" s="9"/>
      <c r="AC7" s="9"/>
      <c r="AD7" s="10"/>
      <c r="AE7" s="10"/>
      <c r="AF7" s="10"/>
      <c r="AG7" s="10"/>
      <c r="AH7" s="10"/>
      <c r="AI7" s="9"/>
      <c r="AJ7" s="106"/>
      <c r="AK7" s="106"/>
      <c r="AL7" s="295"/>
      <c r="AM7" s="295"/>
      <c r="AN7" s="295"/>
      <c r="AO7" s="295"/>
      <c r="AP7" s="106"/>
      <c r="AQ7" s="365"/>
      <c r="AR7" s="365"/>
      <c r="AS7" s="365"/>
      <c r="AT7" s="365"/>
      <c r="AU7" s="365"/>
      <c r="AV7" s="365"/>
      <c r="AW7" s="365"/>
      <c r="AX7" s="365"/>
      <c r="AY7" s="365"/>
      <c r="AZ7" s="365"/>
      <c r="BA7" s="365"/>
      <c r="BB7" s="365"/>
      <c r="BC7" s="365"/>
      <c r="BD7" s="365"/>
    </row>
    <row r="8" spans="1:56" ht="24.95" hidden="1" customHeight="1">
      <c r="B8" s="234">
        <f t="shared" ref="B8:B63" si="0">+B7+1</f>
        <v>3</v>
      </c>
      <c r="C8" s="268" t="s">
        <v>232</v>
      </c>
      <c r="D8" s="268" t="s">
        <v>224</v>
      </c>
      <c r="E8" s="269" t="s">
        <v>38</v>
      </c>
      <c r="F8" s="269" t="s">
        <v>5</v>
      </c>
      <c r="G8" s="274" t="s">
        <v>172</v>
      </c>
      <c r="H8" s="271" t="s">
        <v>39</v>
      </c>
      <c r="I8" s="272"/>
      <c r="J8" s="272"/>
      <c r="K8" s="272"/>
      <c r="L8" s="272"/>
      <c r="M8" s="272"/>
      <c r="N8" s="272"/>
      <c r="O8" s="272"/>
      <c r="P8" s="272"/>
      <c r="Q8" s="272"/>
      <c r="R8" s="272"/>
      <c r="S8" s="272"/>
      <c r="T8" s="272"/>
      <c r="U8" s="88"/>
      <c r="V8" s="15" t="s">
        <v>205</v>
      </c>
      <c r="W8" s="233"/>
      <c r="X8" s="232" t="s">
        <v>204</v>
      </c>
      <c r="Y8" s="11"/>
      <c r="Z8" s="11"/>
      <c r="AA8" s="11"/>
      <c r="AB8" s="11"/>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row>
    <row r="9" spans="1:56" ht="24.95" hidden="1" customHeight="1">
      <c r="B9" s="234">
        <f t="shared" si="0"/>
        <v>4</v>
      </c>
      <c r="C9" s="268" t="s">
        <v>232</v>
      </c>
      <c r="D9" s="268" t="s">
        <v>224</v>
      </c>
      <c r="E9" s="269" t="s">
        <v>31</v>
      </c>
      <c r="F9" s="269" t="s">
        <v>5</v>
      </c>
      <c r="G9" s="274" t="s">
        <v>172</v>
      </c>
      <c r="H9" s="271" t="s">
        <v>40</v>
      </c>
      <c r="I9" s="272"/>
      <c r="J9" s="272"/>
      <c r="K9" s="272"/>
      <c r="L9" s="272"/>
      <c r="M9" s="272"/>
      <c r="N9" s="272"/>
      <c r="O9" s="272"/>
      <c r="P9" s="272"/>
      <c r="Q9" s="272"/>
      <c r="R9" s="272"/>
      <c r="S9" s="272"/>
      <c r="T9" s="272"/>
      <c r="U9" s="88"/>
      <c r="V9" s="15" t="s">
        <v>205</v>
      </c>
      <c r="W9" s="234"/>
      <c r="X9" s="232" t="s">
        <v>204</v>
      </c>
      <c r="Y9" s="9"/>
      <c r="Z9" s="9"/>
      <c r="AA9" s="9"/>
      <c r="AB9" s="9"/>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row>
    <row r="10" spans="1:56" ht="24.95" hidden="1" customHeight="1">
      <c r="B10" s="234">
        <f t="shared" si="0"/>
        <v>5</v>
      </c>
      <c r="C10" s="268" t="s">
        <v>232</v>
      </c>
      <c r="D10" s="268" t="s">
        <v>402</v>
      </c>
      <c r="E10" s="232" t="s">
        <v>41</v>
      </c>
      <c r="F10" s="232" t="s">
        <v>5</v>
      </c>
      <c r="G10" s="242" t="s">
        <v>172</v>
      </c>
      <c r="H10" s="271" t="s">
        <v>42</v>
      </c>
      <c r="I10" s="272"/>
      <c r="J10" s="272"/>
      <c r="K10" s="272"/>
      <c r="L10" s="272"/>
      <c r="M10" s="272"/>
      <c r="N10" s="272"/>
      <c r="O10" s="272"/>
      <c r="P10" s="272"/>
      <c r="Q10" s="272"/>
      <c r="R10" s="272"/>
      <c r="S10" s="272"/>
      <c r="T10" s="272"/>
      <c r="U10" s="91"/>
      <c r="V10" s="92" t="s">
        <v>419</v>
      </c>
      <c r="W10" s="8"/>
      <c r="X10" s="232" t="s">
        <v>203</v>
      </c>
      <c r="Y10" s="232" t="s">
        <v>217</v>
      </c>
      <c r="Z10" s="232"/>
      <c r="AA10" s="232"/>
      <c r="AB10" s="232"/>
      <c r="AC10" s="9"/>
      <c r="AD10" s="9"/>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row>
    <row r="11" spans="1:56" ht="24.95" hidden="1" customHeight="1">
      <c r="B11" s="234">
        <f t="shared" si="0"/>
        <v>6</v>
      </c>
      <c r="C11" s="263" t="s">
        <v>231</v>
      </c>
      <c r="D11" s="263" t="s">
        <v>402</v>
      </c>
      <c r="E11" s="232" t="s">
        <v>31</v>
      </c>
      <c r="F11" s="232" t="s">
        <v>5</v>
      </c>
      <c r="G11" s="242" t="s">
        <v>172</v>
      </c>
      <c r="H11" s="264" t="s">
        <v>43</v>
      </c>
      <c r="I11" s="265"/>
      <c r="J11" s="265"/>
      <c r="K11" s="265"/>
      <c r="L11" s="265"/>
      <c r="M11" s="265"/>
      <c r="N11" s="265"/>
      <c r="O11" s="265"/>
      <c r="P11" s="265"/>
      <c r="Q11" s="265"/>
      <c r="R11" s="265"/>
      <c r="S11" s="265"/>
      <c r="T11" s="265"/>
      <c r="U11" s="91"/>
      <c r="V11" s="92" t="s">
        <v>419</v>
      </c>
      <c r="W11" s="8"/>
      <c r="X11" s="232" t="s">
        <v>203</v>
      </c>
      <c r="Y11" s="232"/>
      <c r="Z11" s="232"/>
      <c r="AA11" s="232"/>
      <c r="AB11" s="232"/>
      <c r="AC11" s="9"/>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row>
    <row r="12" spans="1:56" ht="24.95" hidden="1" customHeight="1">
      <c r="B12" s="234">
        <f>+B11+1</f>
        <v>7</v>
      </c>
      <c r="C12" s="263" t="s">
        <v>234</v>
      </c>
      <c r="D12" s="263" t="s">
        <v>224</v>
      </c>
      <c r="E12" s="232" t="s">
        <v>31</v>
      </c>
      <c r="F12" s="232" t="s">
        <v>45</v>
      </c>
      <c r="G12" s="242" t="s">
        <v>173</v>
      </c>
      <c r="H12" s="275" t="s">
        <v>313</v>
      </c>
      <c r="I12" s="272"/>
      <c r="J12" s="272"/>
      <c r="K12" s="272"/>
      <c r="L12" s="272"/>
      <c r="M12" s="272"/>
      <c r="N12" s="272"/>
      <c r="O12" s="272"/>
      <c r="P12" s="272"/>
      <c r="Q12" s="272"/>
      <c r="R12" s="272"/>
      <c r="S12" s="272"/>
      <c r="T12" s="272"/>
      <c r="U12" s="91"/>
      <c r="V12" s="15">
        <v>45021</v>
      </c>
      <c r="W12" s="229" t="s">
        <v>206</v>
      </c>
      <c r="X12" s="230" t="s">
        <v>207</v>
      </c>
      <c r="Y12" s="230" t="s">
        <v>207</v>
      </c>
      <c r="Z12" s="231" t="s">
        <v>129</v>
      </c>
      <c r="AA12" s="52"/>
      <c r="AB12" s="52"/>
      <c r="AC12" s="138"/>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row>
    <row r="13" spans="1:56" ht="24.95" hidden="1" customHeight="1">
      <c r="B13" s="276">
        <f t="shared" si="0"/>
        <v>8</v>
      </c>
      <c r="C13" s="277" t="s">
        <v>236</v>
      </c>
      <c r="D13" s="263" t="s">
        <v>402</v>
      </c>
      <c r="E13" s="232" t="s">
        <v>31</v>
      </c>
      <c r="F13" s="232" t="s">
        <v>45</v>
      </c>
      <c r="G13" s="242" t="s">
        <v>174</v>
      </c>
      <c r="H13" s="275" t="s">
        <v>423</v>
      </c>
      <c r="I13" s="272"/>
      <c r="J13" s="272"/>
      <c r="K13" s="272"/>
      <c r="L13" s="272"/>
      <c r="M13" s="272"/>
      <c r="N13" s="272"/>
      <c r="O13" s="272"/>
      <c r="P13" s="272"/>
      <c r="Q13" s="272"/>
      <c r="R13" s="272"/>
      <c r="S13" s="272"/>
      <c r="T13" s="272"/>
      <c r="U13" s="91"/>
      <c r="V13" s="15">
        <v>45041</v>
      </c>
      <c r="W13" s="75"/>
      <c r="X13" s="75"/>
      <c r="Y13" s="75"/>
      <c r="Z13" s="107"/>
      <c r="AA13" s="228" t="s">
        <v>426</v>
      </c>
      <c r="AB13" s="228" t="s">
        <v>427</v>
      </c>
      <c r="AC13" s="228" t="s">
        <v>411</v>
      </c>
      <c r="AD13" s="137"/>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row>
    <row r="14" spans="1:56" ht="24.95" hidden="1" customHeight="1">
      <c r="B14" s="234">
        <f t="shared" si="0"/>
        <v>9</v>
      </c>
      <c r="C14" s="263" t="s">
        <v>237</v>
      </c>
      <c r="D14" s="263" t="s">
        <v>224</v>
      </c>
      <c r="E14" s="232" t="s">
        <v>31</v>
      </c>
      <c r="F14" s="232" t="s">
        <v>45</v>
      </c>
      <c r="G14" s="242" t="s">
        <v>175</v>
      </c>
      <c r="H14" s="275" t="s">
        <v>227</v>
      </c>
      <c r="I14" s="272"/>
      <c r="J14" s="272"/>
      <c r="K14" s="272"/>
      <c r="L14" s="272"/>
      <c r="M14" s="272"/>
      <c r="N14" s="272"/>
      <c r="O14" s="272"/>
      <c r="P14" s="272"/>
      <c r="Q14" s="272"/>
      <c r="R14" s="272"/>
      <c r="S14" s="272"/>
      <c r="T14" s="272"/>
      <c r="U14" s="91"/>
      <c r="V14" s="15">
        <v>45016</v>
      </c>
      <c r="W14" s="234"/>
      <c r="X14" s="234"/>
      <c r="Y14" s="232"/>
      <c r="Z14" s="9"/>
      <c r="AA14" s="11"/>
      <c r="AB14" s="11"/>
      <c r="AC14" s="12"/>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row>
    <row r="15" spans="1:56" ht="24.95" hidden="1" customHeight="1">
      <c r="B15" s="234">
        <f t="shared" si="0"/>
        <v>10</v>
      </c>
      <c r="C15" s="263" t="s">
        <v>233</v>
      </c>
      <c r="D15" s="263" t="s">
        <v>615</v>
      </c>
      <c r="E15" s="232" t="s">
        <v>44</v>
      </c>
      <c r="F15" s="232" t="s">
        <v>46</v>
      </c>
      <c r="G15" s="242" t="s">
        <v>176</v>
      </c>
      <c r="H15" s="275" t="s">
        <v>424</v>
      </c>
      <c r="I15" s="272"/>
      <c r="J15" s="272"/>
      <c r="K15" s="272"/>
      <c r="L15" s="272"/>
      <c r="M15" s="272"/>
      <c r="N15" s="272"/>
      <c r="O15" s="272"/>
      <c r="P15" s="272"/>
      <c r="Q15" s="272"/>
      <c r="R15" s="272"/>
      <c r="S15" s="272"/>
      <c r="T15" s="272"/>
      <c r="U15" s="91"/>
      <c r="V15" s="15">
        <v>45046</v>
      </c>
      <c r="W15" s="8"/>
      <c r="X15" s="106"/>
      <c r="Y15" s="106"/>
      <c r="Z15" s="106"/>
      <c r="AA15" s="232" t="s">
        <v>208</v>
      </c>
      <c r="AB15" s="232" t="s">
        <v>208</v>
      </c>
      <c r="AC15" s="232" t="s">
        <v>208</v>
      </c>
      <c r="AD15" s="232" t="s">
        <v>425</v>
      </c>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row>
    <row r="16" spans="1:56" ht="24.95" hidden="1" customHeight="1">
      <c r="B16" s="276">
        <f t="shared" si="0"/>
        <v>11</v>
      </c>
      <c r="C16" s="277" t="s">
        <v>235</v>
      </c>
      <c r="D16" s="277" t="s">
        <v>224</v>
      </c>
      <c r="E16" s="232" t="s">
        <v>47</v>
      </c>
      <c r="F16" s="232" t="s">
        <v>48</v>
      </c>
      <c r="G16" s="294" t="s">
        <v>177</v>
      </c>
      <c r="H16" s="275" t="s">
        <v>49</v>
      </c>
      <c r="I16" s="272"/>
      <c r="J16" s="272"/>
      <c r="K16" s="272"/>
      <c r="L16" s="272"/>
      <c r="M16" s="272"/>
      <c r="N16" s="272"/>
      <c r="O16" s="272"/>
      <c r="P16" s="272"/>
      <c r="Q16" s="272"/>
      <c r="R16" s="272"/>
      <c r="S16" s="272"/>
      <c r="T16" s="272"/>
      <c r="U16" s="91"/>
      <c r="V16" s="15">
        <v>45016</v>
      </c>
      <c r="W16" s="8"/>
      <c r="X16" s="106"/>
      <c r="Y16" s="106"/>
      <c r="Z16" s="106"/>
      <c r="AA16" s="106"/>
      <c r="AB16" s="106"/>
      <c r="AC16" s="106"/>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row>
    <row r="17" spans="2:56" ht="24.95" hidden="1" customHeight="1">
      <c r="B17" s="234">
        <f t="shared" si="0"/>
        <v>12</v>
      </c>
      <c r="C17" s="263" t="s">
        <v>233</v>
      </c>
      <c r="D17" s="263" t="s">
        <v>402</v>
      </c>
      <c r="E17" s="232" t="s">
        <v>44</v>
      </c>
      <c r="F17" s="232" t="s">
        <v>46</v>
      </c>
      <c r="G17" s="242" t="s">
        <v>175</v>
      </c>
      <c r="H17" s="275" t="s">
        <v>319</v>
      </c>
      <c r="I17" s="272"/>
      <c r="J17" s="272"/>
      <c r="K17" s="272"/>
      <c r="L17" s="272"/>
      <c r="M17" s="272"/>
      <c r="N17" s="272"/>
      <c r="O17" s="272"/>
      <c r="P17" s="272"/>
      <c r="Q17" s="272"/>
      <c r="R17" s="272"/>
      <c r="S17" s="272"/>
      <c r="T17" s="272"/>
      <c r="U17" s="91"/>
      <c r="V17" s="15">
        <v>45042</v>
      </c>
      <c r="W17" s="8"/>
      <c r="X17" s="67"/>
      <c r="Y17" s="106"/>
      <c r="Z17" s="106"/>
      <c r="AA17" s="106"/>
      <c r="AB17" s="106"/>
      <c r="AC17" s="106"/>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row>
    <row r="18" spans="2:56" ht="24.95" hidden="1" customHeight="1">
      <c r="B18" s="234">
        <f t="shared" si="0"/>
        <v>13</v>
      </c>
      <c r="C18" s="263" t="s">
        <v>231</v>
      </c>
      <c r="D18" s="263" t="s">
        <v>615</v>
      </c>
      <c r="E18" s="232" t="s">
        <v>44</v>
      </c>
      <c r="F18" s="232" t="s">
        <v>5</v>
      </c>
      <c r="G18" s="242" t="s">
        <v>178</v>
      </c>
      <c r="H18" s="275" t="s">
        <v>50</v>
      </c>
      <c r="I18" s="272"/>
      <c r="J18" s="272"/>
      <c r="K18" s="272"/>
      <c r="L18" s="272"/>
      <c r="M18" s="272"/>
      <c r="N18" s="272"/>
      <c r="O18" s="272"/>
      <c r="P18" s="272"/>
      <c r="Q18" s="272"/>
      <c r="R18" s="272"/>
      <c r="S18" s="272"/>
      <c r="T18" s="272"/>
      <c r="U18" s="91"/>
      <c r="V18" s="92" t="s">
        <v>430</v>
      </c>
      <c r="W18" s="8"/>
      <c r="X18" s="106"/>
      <c r="Y18" s="232" t="s">
        <v>428</v>
      </c>
      <c r="Z18" s="232" t="s">
        <v>428</v>
      </c>
      <c r="AA18" s="232" t="s">
        <v>428</v>
      </c>
      <c r="AB18" s="235" t="s">
        <v>429</v>
      </c>
      <c r="AC18" s="106"/>
      <c r="AD18" s="9"/>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2:56" ht="24.95" hidden="1" customHeight="1">
      <c r="B19" s="234">
        <f t="shared" si="0"/>
        <v>14</v>
      </c>
      <c r="C19" s="263" t="s">
        <v>231</v>
      </c>
      <c r="D19" s="263" t="s">
        <v>402</v>
      </c>
      <c r="E19" s="232" t="s">
        <v>51</v>
      </c>
      <c r="F19" s="232" t="s">
        <v>7</v>
      </c>
      <c r="G19" s="242" t="s">
        <v>180</v>
      </c>
      <c r="H19" s="275" t="s">
        <v>52</v>
      </c>
      <c r="I19" s="272"/>
      <c r="J19" s="272"/>
      <c r="K19" s="272"/>
      <c r="L19" s="272"/>
      <c r="M19" s="272"/>
      <c r="N19" s="272"/>
      <c r="O19" s="272"/>
      <c r="P19" s="272"/>
      <c r="Q19" s="272"/>
      <c r="R19" s="272"/>
      <c r="S19" s="272"/>
      <c r="T19" s="272"/>
      <c r="U19" s="91"/>
      <c r="V19" s="15" t="s">
        <v>418</v>
      </c>
      <c r="W19" s="106"/>
      <c r="X19" s="9"/>
      <c r="Y19" s="232" t="s">
        <v>53</v>
      </c>
      <c r="Z19" s="232" t="s">
        <v>54</v>
      </c>
      <c r="AA19" s="232" t="s">
        <v>54</v>
      </c>
      <c r="AB19" s="232" t="s">
        <v>54</v>
      </c>
      <c r="AC19" s="232"/>
      <c r="AD19" s="232"/>
      <c r="AE19" s="236"/>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2:56" ht="24.95" hidden="1" customHeight="1">
      <c r="B20" s="276">
        <f t="shared" si="0"/>
        <v>15</v>
      </c>
      <c r="C20" s="277" t="s">
        <v>233</v>
      </c>
      <c r="D20" s="277" t="s">
        <v>165</v>
      </c>
      <c r="E20" s="232" t="s">
        <v>41</v>
      </c>
      <c r="F20" s="232" t="s">
        <v>55</v>
      </c>
      <c r="G20" s="242" t="s">
        <v>174</v>
      </c>
      <c r="H20" s="275" t="s">
        <v>364</v>
      </c>
      <c r="I20" s="272"/>
      <c r="J20" s="272"/>
      <c r="K20" s="272"/>
      <c r="L20" s="272"/>
      <c r="M20" s="272"/>
      <c r="N20" s="272"/>
      <c r="O20" s="272"/>
      <c r="P20" s="272"/>
      <c r="Q20" s="272"/>
      <c r="R20" s="272"/>
      <c r="S20" s="272"/>
      <c r="T20" s="272"/>
      <c r="U20" s="93">
        <v>1</v>
      </c>
      <c r="V20" s="39">
        <v>45029</v>
      </c>
      <c r="W20" s="8"/>
      <c r="X20" s="232" t="s">
        <v>362</v>
      </c>
      <c r="Y20" s="232" t="s">
        <v>362</v>
      </c>
      <c r="Z20" s="232" t="s">
        <v>362</v>
      </c>
      <c r="AA20" s="232" t="s">
        <v>656</v>
      </c>
      <c r="AB20" s="9"/>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2:56" ht="24.95" hidden="1" customHeight="1">
      <c r="B21" s="276">
        <f t="shared" si="0"/>
        <v>16</v>
      </c>
      <c r="C21" s="277" t="s">
        <v>233</v>
      </c>
      <c r="D21" s="277" t="s">
        <v>369</v>
      </c>
      <c r="E21" s="232" t="s">
        <v>41</v>
      </c>
      <c r="F21" s="232" t="s">
        <v>56</v>
      </c>
      <c r="G21" s="242" t="s">
        <v>181</v>
      </c>
      <c r="H21" s="275" t="s">
        <v>361</v>
      </c>
      <c r="I21" s="272"/>
      <c r="J21" s="272"/>
      <c r="K21" s="272"/>
      <c r="L21" s="272"/>
      <c r="M21" s="272"/>
      <c r="N21" s="272"/>
      <c r="O21" s="272"/>
      <c r="P21" s="272"/>
      <c r="Q21" s="272"/>
      <c r="R21" s="272"/>
      <c r="S21" s="272"/>
      <c r="T21" s="272"/>
      <c r="U21" s="91"/>
      <c r="V21" s="39">
        <v>45029</v>
      </c>
      <c r="W21" s="8"/>
      <c r="X21" s="232" t="s">
        <v>362</v>
      </c>
      <c r="Y21" s="232" t="s">
        <v>362</v>
      </c>
      <c r="Z21" s="232" t="s">
        <v>362</v>
      </c>
      <c r="AA21" s="232" t="s">
        <v>656</v>
      </c>
      <c r="AB21" s="9"/>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2:56" ht="24.95" customHeight="1">
      <c r="B22" s="121">
        <f t="shared" si="0"/>
        <v>17</v>
      </c>
      <c r="C22" s="122" t="s">
        <v>233</v>
      </c>
      <c r="D22" s="122" t="s">
        <v>223</v>
      </c>
      <c r="E22" s="118" t="s">
        <v>41</v>
      </c>
      <c r="F22" s="118" t="s">
        <v>57</v>
      </c>
      <c r="G22" s="119" t="s">
        <v>174</v>
      </c>
      <c r="H22" s="152" t="s">
        <v>58</v>
      </c>
      <c r="I22" s="153"/>
      <c r="J22" s="153"/>
      <c r="K22" s="153"/>
      <c r="L22" s="153"/>
      <c r="M22" s="153"/>
      <c r="N22" s="153"/>
      <c r="O22" s="153"/>
      <c r="P22" s="153"/>
      <c r="Q22" s="153"/>
      <c r="R22" s="153"/>
      <c r="S22" s="153"/>
      <c r="T22" s="153"/>
      <c r="U22" s="91"/>
      <c r="V22" s="15" t="s">
        <v>1042</v>
      </c>
      <c r="W22" s="8"/>
      <c r="X22" s="75"/>
      <c r="Y22" s="75"/>
      <c r="Z22" s="75"/>
      <c r="AA22" s="9"/>
      <c r="AB22" s="9"/>
      <c r="AC22" s="10"/>
      <c r="AD22" s="10"/>
      <c r="AE22" s="10"/>
      <c r="AF22" s="10"/>
      <c r="AG22" s="10"/>
      <c r="AH22" s="10"/>
      <c r="AI22" s="10"/>
      <c r="AJ22" s="412" t="s">
        <v>1013</v>
      </c>
      <c r="AK22" s="13" t="s">
        <v>1014</v>
      </c>
      <c r="AL22" s="13" t="s">
        <v>1015</v>
      </c>
      <c r="AM22" s="13" t="s">
        <v>38</v>
      </c>
      <c r="AN22" s="13" t="s">
        <v>38</v>
      </c>
      <c r="AO22" s="13" t="s">
        <v>38</v>
      </c>
      <c r="AP22" s="14" t="s">
        <v>411</v>
      </c>
      <c r="AQ22" s="10"/>
      <c r="AR22" s="10"/>
      <c r="AS22" s="10"/>
      <c r="AT22" s="10"/>
      <c r="AU22" s="10"/>
      <c r="AV22" s="10"/>
      <c r="AW22" s="10"/>
      <c r="AX22" s="10"/>
      <c r="AY22" s="10"/>
      <c r="AZ22" s="10"/>
      <c r="BA22" s="10"/>
      <c r="BB22" s="10"/>
      <c r="BC22" s="10"/>
      <c r="BD22" s="10"/>
    </row>
    <row r="23" spans="2:56" ht="24.95" customHeight="1">
      <c r="B23" s="121">
        <f t="shared" si="0"/>
        <v>18</v>
      </c>
      <c r="C23" s="122" t="s">
        <v>238</v>
      </c>
      <c r="D23" s="122" t="s">
        <v>223</v>
      </c>
      <c r="E23" s="118" t="s">
        <v>41</v>
      </c>
      <c r="F23" s="118" t="s">
        <v>59</v>
      </c>
      <c r="G23" s="119" t="s">
        <v>181</v>
      </c>
      <c r="H23" s="152" t="s">
        <v>220</v>
      </c>
      <c r="I23" s="153"/>
      <c r="J23" s="153"/>
      <c r="K23" s="153"/>
      <c r="L23" s="153"/>
      <c r="M23" s="153"/>
      <c r="N23" s="153"/>
      <c r="O23" s="153"/>
      <c r="P23" s="153"/>
      <c r="Q23" s="153"/>
      <c r="R23" s="153"/>
      <c r="S23" s="153"/>
      <c r="T23" s="153"/>
      <c r="U23" s="93">
        <v>1</v>
      </c>
      <c r="V23" s="15" t="s">
        <v>1041</v>
      </c>
      <c r="W23" s="8"/>
      <c r="X23" s="75"/>
      <c r="Y23" s="75"/>
      <c r="Z23" s="75"/>
      <c r="AA23" s="75"/>
      <c r="AB23" s="10"/>
      <c r="AC23" s="10"/>
      <c r="AD23" s="10"/>
      <c r="AE23" s="10"/>
      <c r="AF23" s="10"/>
      <c r="AG23" s="10"/>
      <c r="AH23" s="10"/>
      <c r="AI23" s="10"/>
      <c r="AJ23" s="412" t="s">
        <v>1013</v>
      </c>
      <c r="AK23" s="13" t="s">
        <v>1014</v>
      </c>
      <c r="AL23" s="13" t="s">
        <v>1015</v>
      </c>
      <c r="AM23" s="13" t="s">
        <v>38</v>
      </c>
      <c r="AN23" s="13" t="s">
        <v>38</v>
      </c>
      <c r="AO23" s="13" t="s">
        <v>38</v>
      </c>
      <c r="AP23" s="14" t="s">
        <v>411</v>
      </c>
      <c r="AQ23" s="10"/>
      <c r="AR23" s="10"/>
      <c r="AS23" s="10"/>
      <c r="AT23" s="10"/>
      <c r="AU23" s="10"/>
      <c r="AV23" s="10"/>
      <c r="AW23" s="10"/>
      <c r="AX23" s="10"/>
      <c r="AY23" s="10"/>
      <c r="AZ23" s="10"/>
      <c r="BA23" s="10"/>
      <c r="BB23" s="10"/>
      <c r="BC23" s="10"/>
      <c r="BD23" s="10"/>
    </row>
    <row r="24" spans="2:56" ht="24.95" customHeight="1">
      <c r="B24" s="117">
        <f t="shared" si="0"/>
        <v>19</v>
      </c>
      <c r="C24" s="120" t="s">
        <v>235</v>
      </c>
      <c r="D24" s="120" t="s">
        <v>223</v>
      </c>
      <c r="E24" s="118" t="s">
        <v>41</v>
      </c>
      <c r="F24" s="118" t="s">
        <v>60</v>
      </c>
      <c r="G24" s="119" t="s">
        <v>174</v>
      </c>
      <c r="H24" s="152" t="s">
        <v>61</v>
      </c>
      <c r="I24" s="153"/>
      <c r="J24" s="153"/>
      <c r="K24" s="153"/>
      <c r="L24" s="153"/>
      <c r="M24" s="153"/>
      <c r="N24" s="153"/>
      <c r="O24" s="153"/>
      <c r="P24" s="153"/>
      <c r="Q24" s="153"/>
      <c r="R24" s="153"/>
      <c r="S24" s="153"/>
      <c r="T24" s="153"/>
      <c r="U24" s="91"/>
      <c r="V24" s="15" t="s">
        <v>1041</v>
      </c>
      <c r="W24" s="8"/>
      <c r="X24" s="75"/>
      <c r="Y24" s="75"/>
      <c r="Z24" s="75"/>
      <c r="AA24" s="9"/>
      <c r="AB24" s="9"/>
      <c r="AC24" s="10"/>
      <c r="AD24" s="10"/>
      <c r="AE24" s="10"/>
      <c r="AF24" s="10"/>
      <c r="AG24" s="10"/>
      <c r="AH24" s="10"/>
      <c r="AI24" s="10"/>
      <c r="AJ24" s="412" t="s">
        <v>1013</v>
      </c>
      <c r="AK24" s="13" t="s">
        <v>1014</v>
      </c>
      <c r="AL24" s="13" t="s">
        <v>1015</v>
      </c>
      <c r="AM24" s="13" t="s">
        <v>38</v>
      </c>
      <c r="AN24" s="13" t="s">
        <v>38</v>
      </c>
      <c r="AO24" s="13" t="s">
        <v>38</v>
      </c>
      <c r="AP24" s="14" t="s">
        <v>411</v>
      </c>
      <c r="AQ24" s="10"/>
      <c r="AR24" s="10"/>
      <c r="AS24" s="10"/>
      <c r="AT24" s="10"/>
      <c r="AU24" s="10"/>
      <c r="AV24" s="10"/>
      <c r="AW24" s="10"/>
      <c r="AX24" s="10"/>
      <c r="AY24" s="10"/>
      <c r="AZ24" s="10"/>
      <c r="BA24" s="10"/>
      <c r="BB24" s="10"/>
      <c r="BC24" s="10"/>
      <c r="BD24" s="10"/>
    </row>
    <row r="25" spans="2:56" ht="24.95" customHeight="1">
      <c r="B25" s="135">
        <f t="shared" si="0"/>
        <v>20</v>
      </c>
      <c r="C25" s="136" t="s">
        <v>233</v>
      </c>
      <c r="D25" s="136" t="s">
        <v>228</v>
      </c>
      <c r="E25" s="108" t="s">
        <v>31</v>
      </c>
      <c r="F25" s="108" t="s">
        <v>62</v>
      </c>
      <c r="G25" s="34" t="s">
        <v>182</v>
      </c>
      <c r="H25" s="154" t="s">
        <v>63</v>
      </c>
      <c r="I25" s="155"/>
      <c r="J25" s="155"/>
      <c r="K25" s="155"/>
      <c r="L25" s="155"/>
      <c r="M25" s="155"/>
      <c r="N25" s="155"/>
      <c r="O25" s="155"/>
      <c r="P25" s="155"/>
      <c r="Q25" s="155"/>
      <c r="R25" s="155"/>
      <c r="S25" s="155"/>
      <c r="T25" s="155"/>
      <c r="U25" s="91"/>
      <c r="V25" s="15" t="s">
        <v>1043</v>
      </c>
      <c r="W25" s="106"/>
      <c r="X25" s="106"/>
      <c r="Y25" s="106"/>
      <c r="Z25" s="106"/>
      <c r="AA25" s="106"/>
      <c r="AB25" s="106"/>
      <c r="AC25" s="106"/>
      <c r="AD25" s="225"/>
      <c r="AE25" s="225"/>
      <c r="AF25" s="10"/>
      <c r="AG25" s="381" t="s">
        <v>917</v>
      </c>
      <c r="AH25" s="381" t="s">
        <v>917</v>
      </c>
      <c r="AI25" s="412" t="s">
        <v>917</v>
      </c>
      <c r="AJ25" s="381" t="s">
        <v>917</v>
      </c>
      <c r="AK25" s="372" t="s">
        <v>1069</v>
      </c>
      <c r="AL25" s="372" t="s">
        <v>1070</v>
      </c>
      <c r="AM25" s="372" t="s">
        <v>445</v>
      </c>
      <c r="AN25" s="372" t="s">
        <v>445</v>
      </c>
      <c r="AO25" s="10"/>
      <c r="AP25" s="10"/>
      <c r="AQ25" s="10"/>
      <c r="AR25" s="10"/>
      <c r="AS25" s="10"/>
      <c r="AT25" s="10"/>
      <c r="AU25" s="10"/>
      <c r="AV25" s="10"/>
      <c r="AW25" s="10"/>
      <c r="AX25" s="10"/>
      <c r="AY25" s="10"/>
      <c r="AZ25" s="10"/>
      <c r="BA25" s="10"/>
      <c r="BB25" s="10"/>
      <c r="BC25" s="10"/>
      <c r="BD25" s="10"/>
    </row>
    <row r="26" spans="2:56" ht="24.95" customHeight="1">
      <c r="B26" s="121">
        <f t="shared" si="0"/>
        <v>21</v>
      </c>
      <c r="C26" s="122" t="s">
        <v>239</v>
      </c>
      <c r="D26" s="122" t="s">
        <v>862</v>
      </c>
      <c r="E26" s="118" t="s">
        <v>64</v>
      </c>
      <c r="F26" s="118" t="s">
        <v>65</v>
      </c>
      <c r="G26" s="119" t="s">
        <v>183</v>
      </c>
      <c r="H26" s="152" t="s">
        <v>861</v>
      </c>
      <c r="I26" s="153"/>
      <c r="J26" s="153"/>
      <c r="K26" s="153"/>
      <c r="L26" s="153"/>
      <c r="M26" s="153"/>
      <c r="N26" s="153"/>
      <c r="O26" s="153"/>
      <c r="P26" s="153"/>
      <c r="Q26" s="153"/>
      <c r="R26" s="153"/>
      <c r="S26" s="153"/>
      <c r="T26" s="153"/>
      <c r="U26" s="94">
        <v>1</v>
      </c>
      <c r="V26" s="39" t="s">
        <v>1044</v>
      </c>
      <c r="W26" s="8"/>
      <c r="X26" s="106"/>
      <c r="Y26" s="106"/>
      <c r="Z26" s="106"/>
      <c r="AA26" s="106"/>
      <c r="AB26" s="9"/>
      <c r="AC26" s="9"/>
      <c r="AD26" s="284"/>
      <c r="AE26" s="284"/>
      <c r="AF26" s="284"/>
      <c r="AG26" s="316"/>
      <c r="AH26" s="316"/>
      <c r="AI26" s="398"/>
      <c r="AJ26" s="398"/>
      <c r="AK26" s="14" t="s">
        <v>38</v>
      </c>
      <c r="AL26" s="14" t="s">
        <v>410</v>
      </c>
      <c r="AM26" s="10"/>
      <c r="AN26" s="10"/>
      <c r="AO26" s="10"/>
      <c r="AP26" s="10"/>
      <c r="AQ26" s="10"/>
      <c r="AR26" s="10"/>
      <c r="AS26" s="10"/>
      <c r="AT26" s="10"/>
      <c r="AU26" s="10"/>
      <c r="AV26" s="10"/>
      <c r="AW26" s="10"/>
      <c r="AX26" s="10"/>
      <c r="AY26" s="10"/>
      <c r="AZ26" s="10"/>
      <c r="BA26" s="10"/>
      <c r="BB26" s="10"/>
      <c r="BC26" s="10"/>
      <c r="BD26" s="10"/>
    </row>
    <row r="27" spans="2:56" ht="24.95" hidden="1" customHeight="1">
      <c r="B27" s="276">
        <f t="shared" si="0"/>
        <v>22</v>
      </c>
      <c r="C27" s="277" t="s">
        <v>235</v>
      </c>
      <c r="D27" s="277" t="s">
        <v>394</v>
      </c>
      <c r="E27" s="232" t="s">
        <v>38</v>
      </c>
      <c r="F27" s="232" t="s">
        <v>66</v>
      </c>
      <c r="G27" s="242" t="s">
        <v>181</v>
      </c>
      <c r="H27" s="275" t="s">
        <v>382</v>
      </c>
      <c r="I27" s="272"/>
      <c r="J27" s="272"/>
      <c r="K27" s="272"/>
      <c r="L27" s="272"/>
      <c r="M27" s="272"/>
      <c r="N27" s="272"/>
      <c r="O27" s="272"/>
      <c r="P27" s="272"/>
      <c r="Q27" s="272"/>
      <c r="R27" s="272"/>
      <c r="S27" s="272"/>
      <c r="T27" s="272"/>
      <c r="U27" s="95"/>
      <c r="V27" s="39">
        <v>45023</v>
      </c>
      <c r="W27" s="9"/>
      <c r="X27" s="38"/>
      <c r="Y27" s="75"/>
      <c r="Z27" s="232" t="s">
        <v>208</v>
      </c>
      <c r="AA27" s="232" t="s">
        <v>208</v>
      </c>
      <c r="AB27" s="232" t="s">
        <v>656</v>
      </c>
      <c r="AC27" s="9"/>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2:56" ht="24.95" hidden="1" customHeight="1">
      <c r="B28" s="234">
        <f t="shared" si="0"/>
        <v>23</v>
      </c>
      <c r="C28" s="263" t="s">
        <v>235</v>
      </c>
      <c r="D28" s="247" t="s">
        <v>665</v>
      </c>
      <c r="E28" s="232" t="s">
        <v>64</v>
      </c>
      <c r="F28" s="232" t="s">
        <v>67</v>
      </c>
      <c r="G28" s="242" t="s">
        <v>186</v>
      </c>
      <c r="H28" s="275" t="s">
        <v>127</v>
      </c>
      <c r="I28" s="272"/>
      <c r="J28" s="272"/>
      <c r="K28" s="272"/>
      <c r="L28" s="272"/>
      <c r="M28" s="272"/>
      <c r="N28" s="272"/>
      <c r="O28" s="272"/>
      <c r="P28" s="272"/>
      <c r="Q28" s="272"/>
      <c r="R28" s="272"/>
      <c r="S28" s="272"/>
      <c r="T28" s="272"/>
      <c r="U28" s="96"/>
      <c r="V28" s="15">
        <v>45056</v>
      </c>
      <c r="W28" s="106"/>
      <c r="X28" s="106"/>
      <c r="Y28" s="106"/>
      <c r="Z28" s="106"/>
      <c r="AA28" s="9"/>
      <c r="AB28" s="9"/>
      <c r="AC28" s="232" t="s">
        <v>413</v>
      </c>
      <c r="AD28" s="232" t="s">
        <v>679</v>
      </c>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2:56" ht="24.95" hidden="1" customHeight="1">
      <c r="B29" s="234">
        <f t="shared" si="0"/>
        <v>24</v>
      </c>
      <c r="C29" s="263" t="s">
        <v>232</v>
      </c>
      <c r="D29" s="263" t="s">
        <v>112</v>
      </c>
      <c r="E29" s="232" t="s">
        <v>51</v>
      </c>
      <c r="F29" s="235" t="s">
        <v>68</v>
      </c>
      <c r="G29" s="285" t="s">
        <v>180</v>
      </c>
      <c r="H29" s="275" t="s">
        <v>52</v>
      </c>
      <c r="I29" s="272"/>
      <c r="J29" s="272"/>
      <c r="K29" s="272"/>
      <c r="L29" s="272"/>
      <c r="M29" s="272"/>
      <c r="N29" s="272"/>
      <c r="O29" s="272"/>
      <c r="P29" s="272"/>
      <c r="Q29" s="272"/>
      <c r="R29" s="272"/>
      <c r="S29" s="272"/>
      <c r="T29" s="272"/>
      <c r="U29" s="91"/>
      <c r="V29" s="15">
        <v>45049</v>
      </c>
      <c r="W29" s="8"/>
      <c r="X29" s="9"/>
      <c r="Y29" s="9"/>
      <c r="Z29" s="111"/>
      <c r="AA29" s="232" t="s">
        <v>53</v>
      </c>
      <c r="AB29" s="232" t="s">
        <v>54</v>
      </c>
      <c r="AC29" s="235" t="s">
        <v>457</v>
      </c>
      <c r="AD29" s="232" t="s">
        <v>54</v>
      </c>
      <c r="AE29" s="284"/>
      <c r="AF29" s="284"/>
      <c r="AG29" s="284"/>
      <c r="AH29" s="284"/>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2:56" ht="24.95" hidden="1" customHeight="1">
      <c r="B30" s="234">
        <f t="shared" si="0"/>
        <v>25</v>
      </c>
      <c r="C30" s="263" t="s">
        <v>232</v>
      </c>
      <c r="D30" s="263" t="s">
        <v>112</v>
      </c>
      <c r="E30" s="232" t="s">
        <v>51</v>
      </c>
      <c r="F30" s="232" t="s">
        <v>9</v>
      </c>
      <c r="G30" s="285" t="s">
        <v>180</v>
      </c>
      <c r="H30" s="275" t="s">
        <v>70</v>
      </c>
      <c r="I30" s="272"/>
      <c r="J30" s="272"/>
      <c r="K30" s="272"/>
      <c r="L30" s="272"/>
      <c r="M30" s="272"/>
      <c r="N30" s="272"/>
      <c r="O30" s="272"/>
      <c r="P30" s="272"/>
      <c r="Q30" s="272"/>
      <c r="R30" s="272"/>
      <c r="S30" s="272"/>
      <c r="T30" s="272"/>
      <c r="U30" s="91"/>
      <c r="V30" s="15" t="s">
        <v>69</v>
      </c>
      <c r="W30" s="8"/>
      <c r="X30" s="9"/>
      <c r="Y30" s="9"/>
      <c r="Z30" s="111"/>
      <c r="AA30" s="232" t="s">
        <v>53</v>
      </c>
      <c r="AB30" s="232" t="s">
        <v>54</v>
      </c>
      <c r="AC30" s="235" t="s">
        <v>457</v>
      </c>
      <c r="AD30" s="232" t="s">
        <v>54</v>
      </c>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2:56" ht="24.95" customHeight="1">
      <c r="B31" s="135">
        <f t="shared" si="0"/>
        <v>26</v>
      </c>
      <c r="C31" s="136" t="s">
        <v>233</v>
      </c>
      <c r="D31" s="136" t="s">
        <v>431</v>
      </c>
      <c r="E31" s="108" t="s">
        <v>44</v>
      </c>
      <c r="F31" s="108" t="s">
        <v>46</v>
      </c>
      <c r="G31" s="145" t="s">
        <v>180</v>
      </c>
      <c r="H31" s="154" t="s">
        <v>71</v>
      </c>
      <c r="I31" s="155"/>
      <c r="J31" s="155"/>
      <c r="K31" s="155"/>
      <c r="L31" s="155"/>
      <c r="M31" s="155"/>
      <c r="N31" s="155"/>
      <c r="O31" s="155"/>
      <c r="P31" s="155"/>
      <c r="Q31" s="155"/>
      <c r="R31" s="155"/>
      <c r="S31" s="155"/>
      <c r="T31" s="155"/>
      <c r="U31" s="91"/>
      <c r="V31" s="15">
        <v>45076</v>
      </c>
      <c r="W31" s="8"/>
      <c r="X31" s="106"/>
      <c r="Y31" s="106"/>
      <c r="Z31" s="106"/>
      <c r="AA31" s="106"/>
      <c r="AB31" s="9"/>
      <c r="AC31" s="232" t="s">
        <v>233</v>
      </c>
      <c r="AD31" s="232" t="s">
        <v>233</v>
      </c>
      <c r="AE31" s="232" t="s">
        <v>233</v>
      </c>
      <c r="AF31" s="232" t="s">
        <v>233</v>
      </c>
      <c r="AG31" s="232" t="s">
        <v>233</v>
      </c>
      <c r="AH31" s="232" t="s">
        <v>233</v>
      </c>
      <c r="AI31" s="232" t="s">
        <v>233</v>
      </c>
      <c r="AJ31" s="404"/>
      <c r="AK31" s="13" t="s">
        <v>233</v>
      </c>
      <c r="AL31" s="10"/>
      <c r="AM31" s="10"/>
      <c r="AN31" s="10"/>
      <c r="AO31" s="10"/>
      <c r="AP31" s="10"/>
      <c r="AQ31" s="10"/>
      <c r="AR31" s="10"/>
      <c r="AS31" s="10"/>
      <c r="AT31" s="10"/>
      <c r="AU31" s="10"/>
      <c r="AV31" s="10"/>
      <c r="AW31" s="10"/>
      <c r="AX31" s="10"/>
      <c r="AY31" s="10"/>
      <c r="AZ31" s="10"/>
      <c r="BA31" s="10"/>
      <c r="BB31" s="10"/>
      <c r="BC31" s="10"/>
      <c r="BD31" s="10"/>
    </row>
    <row r="32" spans="2:56" ht="24.95" customHeight="1">
      <c r="B32" s="135">
        <f t="shared" si="0"/>
        <v>27</v>
      </c>
      <c r="C32" s="136" t="s">
        <v>233</v>
      </c>
      <c r="D32" s="136" t="s">
        <v>431</v>
      </c>
      <c r="E32" s="108" t="s">
        <v>31</v>
      </c>
      <c r="F32" s="108" t="s">
        <v>62</v>
      </c>
      <c r="G32" s="145" t="s">
        <v>180</v>
      </c>
      <c r="H32" s="154" t="s">
        <v>72</v>
      </c>
      <c r="I32" s="155"/>
      <c r="J32" s="155"/>
      <c r="K32" s="155"/>
      <c r="L32" s="155"/>
      <c r="M32" s="155"/>
      <c r="N32" s="155"/>
      <c r="O32" s="155"/>
      <c r="P32" s="155"/>
      <c r="Q32" s="155"/>
      <c r="R32" s="155"/>
      <c r="S32" s="155"/>
      <c r="T32" s="155"/>
      <c r="U32" s="91"/>
      <c r="V32" s="15" t="s">
        <v>935</v>
      </c>
      <c r="W32" s="8"/>
      <c r="X32" s="106"/>
      <c r="Y32" s="106"/>
      <c r="Z32" s="106"/>
      <c r="AA32" s="106"/>
      <c r="AB32" s="9"/>
      <c r="AC32" s="10"/>
      <c r="AD32" s="10"/>
      <c r="AE32" s="10"/>
      <c r="AF32" s="10"/>
      <c r="AG32" s="10"/>
      <c r="AH32" s="10"/>
      <c r="AI32" s="10"/>
      <c r="AJ32" s="10"/>
      <c r="AK32" s="10"/>
      <c r="AL32" s="372" t="s">
        <v>233</v>
      </c>
      <c r="AM32" s="10"/>
      <c r="AN32" s="10"/>
      <c r="AO32" s="10"/>
      <c r="AP32" s="10"/>
      <c r="AQ32" s="10"/>
      <c r="AR32" s="10"/>
      <c r="AS32" s="10"/>
      <c r="AT32" s="10"/>
      <c r="AU32" s="10"/>
      <c r="AV32" s="10"/>
      <c r="AW32" s="10"/>
      <c r="AX32" s="10"/>
      <c r="AY32" s="10"/>
      <c r="AZ32" s="10"/>
      <c r="BA32" s="10"/>
      <c r="BB32" s="10"/>
      <c r="BC32" s="10"/>
      <c r="BD32" s="10"/>
    </row>
    <row r="33" spans="2:56" ht="24.95" customHeight="1">
      <c r="B33" s="117">
        <f t="shared" si="0"/>
        <v>28</v>
      </c>
      <c r="C33" s="120" t="s">
        <v>233</v>
      </c>
      <c r="D33" s="120" t="s">
        <v>223</v>
      </c>
      <c r="E33" s="118" t="s">
        <v>41</v>
      </c>
      <c r="F33" s="118" t="s">
        <v>73</v>
      </c>
      <c r="G33" s="119" t="s">
        <v>183</v>
      </c>
      <c r="H33" s="152" t="s">
        <v>74</v>
      </c>
      <c r="I33" s="153"/>
      <c r="J33" s="153"/>
      <c r="K33" s="153"/>
      <c r="L33" s="153"/>
      <c r="M33" s="153"/>
      <c r="N33" s="153"/>
      <c r="O33" s="153"/>
      <c r="P33" s="153"/>
      <c r="Q33" s="153"/>
      <c r="R33" s="153"/>
      <c r="S33" s="153"/>
      <c r="T33" s="153"/>
      <c r="U33" s="91"/>
      <c r="V33" s="15" t="s">
        <v>763</v>
      </c>
      <c r="W33" s="8"/>
      <c r="X33" s="9"/>
      <c r="Y33" s="75"/>
      <c r="Z33" s="111"/>
      <c r="AA33" s="106"/>
      <c r="AB33" s="106"/>
      <c r="AC33" s="10"/>
      <c r="AD33" s="10"/>
      <c r="AE33" s="10"/>
      <c r="AF33" s="10"/>
      <c r="AG33" s="10"/>
      <c r="AH33" s="10"/>
      <c r="AI33" s="10"/>
      <c r="AJ33" s="10"/>
      <c r="AK33" s="13" t="s">
        <v>434</v>
      </c>
      <c r="AL33" s="13" t="s">
        <v>442</v>
      </c>
      <c r="AM33" s="13" t="s">
        <v>38</v>
      </c>
      <c r="AN33" s="13" t="s">
        <v>38</v>
      </c>
      <c r="AO33" s="14" t="s">
        <v>411</v>
      </c>
      <c r="AP33" s="10"/>
      <c r="AQ33" s="10"/>
      <c r="AR33" s="10"/>
      <c r="AS33" s="10"/>
      <c r="AT33" s="10"/>
      <c r="AU33" s="10"/>
      <c r="AV33" s="10"/>
      <c r="AW33" s="10"/>
      <c r="AX33" s="10"/>
      <c r="AY33" s="10"/>
      <c r="AZ33" s="10"/>
      <c r="BA33" s="10"/>
      <c r="BB33" s="10"/>
      <c r="BC33" s="10"/>
      <c r="BD33" s="10"/>
    </row>
    <row r="34" spans="2:56" ht="24.95" customHeight="1">
      <c r="B34" s="135">
        <f t="shared" si="0"/>
        <v>29</v>
      </c>
      <c r="C34" s="136" t="s">
        <v>233</v>
      </c>
      <c r="D34" s="136" t="s">
        <v>228</v>
      </c>
      <c r="E34" s="108" t="s">
        <v>44</v>
      </c>
      <c r="F34" s="108" t="s">
        <v>75</v>
      </c>
      <c r="G34" s="34" t="s">
        <v>179</v>
      </c>
      <c r="H34" s="154" t="s">
        <v>76</v>
      </c>
      <c r="I34" s="155"/>
      <c r="J34" s="155"/>
      <c r="K34" s="155"/>
      <c r="L34" s="155"/>
      <c r="M34" s="155"/>
      <c r="N34" s="155"/>
      <c r="O34" s="155"/>
      <c r="P34" s="155"/>
      <c r="Q34" s="155"/>
      <c r="R34" s="155"/>
      <c r="S34" s="155"/>
      <c r="T34" s="155"/>
      <c r="U34" s="91"/>
      <c r="V34" s="15" t="s">
        <v>1045</v>
      </c>
      <c r="W34" s="232" t="s">
        <v>128</v>
      </c>
      <c r="X34" s="235" t="s">
        <v>189</v>
      </c>
      <c r="Y34" s="235" t="s">
        <v>189</v>
      </c>
      <c r="Z34" s="232" t="s">
        <v>403</v>
      </c>
      <c r="AA34" s="232" t="s">
        <v>403</v>
      </c>
      <c r="AB34" s="232" t="s">
        <v>403</v>
      </c>
      <c r="AC34" s="235" t="s">
        <v>404</v>
      </c>
      <c r="AD34" s="232" t="s">
        <v>416</v>
      </c>
      <c r="AE34" s="232" t="s">
        <v>417</v>
      </c>
      <c r="AF34" s="232" t="s">
        <v>417</v>
      </c>
      <c r="AG34" s="10"/>
      <c r="AH34" s="232" t="s">
        <v>417</v>
      </c>
      <c r="AI34" s="10"/>
      <c r="AJ34" s="10"/>
      <c r="AK34" s="13" t="s">
        <v>417</v>
      </c>
      <c r="AL34" s="13" t="s">
        <v>417</v>
      </c>
      <c r="AM34" s="10"/>
      <c r="AN34" s="10"/>
      <c r="AO34" s="10"/>
      <c r="AP34" s="10"/>
      <c r="AQ34" s="10"/>
      <c r="AR34" s="10"/>
      <c r="AS34" s="10"/>
      <c r="AT34" s="10"/>
      <c r="AU34" s="10"/>
      <c r="AV34" s="10"/>
      <c r="AW34" s="10"/>
      <c r="AX34" s="10"/>
      <c r="AY34" s="10"/>
      <c r="AZ34" s="10"/>
      <c r="BA34" s="10"/>
      <c r="BB34" s="10"/>
      <c r="BC34" s="10"/>
      <c r="BD34" s="10"/>
    </row>
    <row r="35" spans="2:56" ht="24.95" hidden="1" customHeight="1">
      <c r="B35" s="234">
        <f t="shared" si="0"/>
        <v>30</v>
      </c>
      <c r="C35" s="263" t="s">
        <v>233</v>
      </c>
      <c r="D35" s="263" t="s">
        <v>1046</v>
      </c>
      <c r="E35" s="232" t="s">
        <v>44</v>
      </c>
      <c r="F35" s="232" t="s">
        <v>77</v>
      </c>
      <c r="G35" s="399" t="s">
        <v>175</v>
      </c>
      <c r="H35" s="275" t="s">
        <v>78</v>
      </c>
      <c r="I35" s="272"/>
      <c r="J35" s="272"/>
      <c r="K35" s="272"/>
      <c r="L35" s="272"/>
      <c r="M35" s="272"/>
      <c r="N35" s="272"/>
      <c r="O35" s="272"/>
      <c r="P35" s="272"/>
      <c r="Q35" s="272"/>
      <c r="R35" s="272"/>
      <c r="S35" s="272"/>
      <c r="T35" s="272"/>
      <c r="U35" s="91"/>
      <c r="V35" s="15">
        <v>45071</v>
      </c>
      <c r="W35" s="8"/>
      <c r="X35" s="9"/>
      <c r="Y35" s="9"/>
      <c r="Z35" s="9"/>
      <c r="AA35" s="106"/>
      <c r="AB35" s="106"/>
      <c r="AC35" s="207"/>
      <c r="AD35" s="284"/>
      <c r="AE35" s="232" t="s">
        <v>445</v>
      </c>
      <c r="AF35" s="232" t="s">
        <v>445</v>
      </c>
      <c r="AG35" s="232" t="s">
        <v>445</v>
      </c>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2:56" ht="24.95" hidden="1" customHeight="1">
      <c r="B36" s="234">
        <f t="shared" si="0"/>
        <v>31</v>
      </c>
      <c r="C36" s="263" t="s">
        <v>233</v>
      </c>
      <c r="D36" s="247" t="s">
        <v>665</v>
      </c>
      <c r="E36" s="232" t="s">
        <v>44</v>
      </c>
      <c r="F36" s="232" t="s">
        <v>75</v>
      </c>
      <c r="G36" s="242" t="s">
        <v>182</v>
      </c>
      <c r="H36" s="275" t="s">
        <v>79</v>
      </c>
      <c r="I36" s="272"/>
      <c r="J36" s="272"/>
      <c r="K36" s="272"/>
      <c r="L36" s="272"/>
      <c r="M36" s="272"/>
      <c r="N36" s="272"/>
      <c r="O36" s="272"/>
      <c r="P36" s="272"/>
      <c r="Q36" s="272"/>
      <c r="R36" s="272"/>
      <c r="S36" s="272"/>
      <c r="T36" s="272"/>
      <c r="U36" s="91"/>
      <c r="V36" s="15" t="s">
        <v>677</v>
      </c>
      <c r="W36" s="8"/>
      <c r="X36" s="9"/>
      <c r="Y36" s="9"/>
      <c r="Z36" s="106"/>
      <c r="AA36" s="207"/>
      <c r="AB36" s="106"/>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2:56" ht="24.95" customHeight="1">
      <c r="B37" s="135">
        <f t="shared" si="0"/>
        <v>32</v>
      </c>
      <c r="C37" s="136" t="s">
        <v>233</v>
      </c>
      <c r="D37" s="136" t="s">
        <v>228</v>
      </c>
      <c r="E37" s="116" t="s">
        <v>31</v>
      </c>
      <c r="F37" s="116" t="s">
        <v>62</v>
      </c>
      <c r="G37" s="34" t="s">
        <v>179</v>
      </c>
      <c r="H37" s="154" t="s">
        <v>80</v>
      </c>
      <c r="I37" s="155"/>
      <c r="J37" s="155"/>
      <c r="K37" s="155"/>
      <c r="L37" s="155"/>
      <c r="M37" s="155"/>
      <c r="N37" s="155"/>
      <c r="O37" s="155"/>
      <c r="P37" s="155"/>
      <c r="Q37" s="155"/>
      <c r="R37" s="155"/>
      <c r="S37" s="155"/>
      <c r="T37" s="155"/>
      <c r="U37" s="91"/>
      <c r="V37" s="15" t="s">
        <v>926</v>
      </c>
      <c r="W37" s="8"/>
      <c r="X37" s="106"/>
      <c r="Y37" s="106"/>
      <c r="Z37" s="106"/>
      <c r="AA37" s="106"/>
      <c r="AB37" s="106"/>
      <c r="AC37" s="225"/>
      <c r="AD37" s="225"/>
      <c r="AE37" s="225"/>
      <c r="AF37" s="316"/>
      <c r="AG37" s="365"/>
      <c r="AH37" s="365"/>
      <c r="AI37" s="431" t="s">
        <v>1068</v>
      </c>
      <c r="AJ37" s="431" t="s">
        <v>919</v>
      </c>
      <c r="AK37" s="371" t="s">
        <v>918</v>
      </c>
      <c r="AL37" s="371" t="s">
        <v>919</v>
      </c>
      <c r="AM37" s="371" t="s">
        <v>920</v>
      </c>
      <c r="AN37" s="371" t="s">
        <v>921</v>
      </c>
      <c r="AO37" s="371" t="s">
        <v>922</v>
      </c>
      <c r="AP37" s="371" t="s">
        <v>923</v>
      </c>
      <c r="AQ37" s="371" t="s">
        <v>924</v>
      </c>
      <c r="AR37" s="371" t="s">
        <v>925</v>
      </c>
      <c r="AS37" s="371" t="s">
        <v>925</v>
      </c>
      <c r="AT37" s="10"/>
      <c r="AU37" s="10"/>
      <c r="AV37" s="10"/>
      <c r="AW37" s="10"/>
      <c r="AX37" s="10"/>
      <c r="AY37" s="10"/>
      <c r="AZ37" s="10"/>
      <c r="BA37" s="10"/>
      <c r="BB37" s="10"/>
      <c r="BC37" s="10"/>
      <c r="BD37" s="10"/>
    </row>
    <row r="38" spans="2:56" ht="24.95" customHeight="1">
      <c r="B38" s="135">
        <f>+B37+1</f>
        <v>33</v>
      </c>
      <c r="C38" s="136" t="s">
        <v>233</v>
      </c>
      <c r="D38" s="136" t="s">
        <v>228</v>
      </c>
      <c r="E38" s="108" t="s">
        <v>31</v>
      </c>
      <c r="F38" s="108" t="s">
        <v>62</v>
      </c>
      <c r="G38" s="34" t="s">
        <v>185</v>
      </c>
      <c r="H38" s="154" t="s">
        <v>81</v>
      </c>
      <c r="I38" s="155"/>
      <c r="J38" s="155"/>
      <c r="K38" s="155"/>
      <c r="L38" s="155"/>
      <c r="M38" s="155"/>
      <c r="N38" s="155"/>
      <c r="O38" s="155"/>
      <c r="P38" s="155"/>
      <c r="Q38" s="155"/>
      <c r="R38" s="155"/>
      <c r="S38" s="155"/>
      <c r="T38" s="155"/>
      <c r="U38" s="91"/>
      <c r="V38" s="15" t="s">
        <v>415</v>
      </c>
      <c r="W38" s="8"/>
      <c r="X38" s="9"/>
      <c r="Y38" s="9"/>
      <c r="Z38" s="9"/>
      <c r="AA38" s="9"/>
      <c r="AB38" s="9"/>
      <c r="AC38" s="9"/>
      <c r="AD38" s="10"/>
      <c r="AE38" s="10"/>
      <c r="AF38" s="10"/>
      <c r="AG38" s="10"/>
      <c r="AH38" s="10"/>
      <c r="AI38" s="431" t="s">
        <v>933</v>
      </c>
      <c r="AJ38" s="381" t="s">
        <v>933</v>
      </c>
      <c r="AK38" s="372" t="s">
        <v>933</v>
      </c>
      <c r="AL38" s="372" t="s">
        <v>933</v>
      </c>
      <c r="AM38" s="372" t="s">
        <v>934</v>
      </c>
      <c r="AN38" s="372" t="s">
        <v>934</v>
      </c>
      <c r="AO38" s="372" t="s">
        <v>934</v>
      </c>
      <c r="AP38" s="372" t="s">
        <v>934</v>
      </c>
      <c r="AQ38" s="372" t="s">
        <v>934</v>
      </c>
      <c r="AR38" s="365"/>
      <c r="AS38" s="365"/>
      <c r="AT38" s="365"/>
      <c r="AU38" s="365"/>
      <c r="AV38" s="365"/>
      <c r="AW38" s="365"/>
      <c r="AX38" s="365"/>
      <c r="AY38" s="365"/>
      <c r="AZ38" s="365"/>
      <c r="BA38" s="365"/>
      <c r="BB38" s="365"/>
      <c r="BC38" s="365"/>
      <c r="BD38" s="365"/>
    </row>
    <row r="39" spans="2:56" ht="24.95" customHeight="1">
      <c r="B39" s="135">
        <f t="shared" si="0"/>
        <v>34</v>
      </c>
      <c r="C39" s="136" t="s">
        <v>235</v>
      </c>
      <c r="D39" s="136" t="s">
        <v>228</v>
      </c>
      <c r="E39" s="116" t="s">
        <v>51</v>
      </c>
      <c r="F39" s="116" t="s">
        <v>82</v>
      </c>
      <c r="G39" s="34" t="s">
        <v>187</v>
      </c>
      <c r="H39" s="154" t="s">
        <v>83</v>
      </c>
      <c r="I39" s="155"/>
      <c r="J39" s="155"/>
      <c r="K39" s="155"/>
      <c r="L39" s="155"/>
      <c r="M39" s="155"/>
      <c r="N39" s="155"/>
      <c r="O39" s="155"/>
      <c r="P39" s="155"/>
      <c r="Q39" s="155"/>
      <c r="R39" s="155"/>
      <c r="S39" s="155"/>
      <c r="T39" s="155"/>
      <c r="U39" s="91"/>
      <c r="V39" s="15" t="s">
        <v>433</v>
      </c>
      <c r="W39" s="8"/>
      <c r="X39" s="106"/>
      <c r="Y39" s="106"/>
      <c r="Z39" s="106"/>
      <c r="AA39" s="106"/>
      <c r="AB39" s="106"/>
      <c r="AC39" s="398"/>
      <c r="AD39" s="398"/>
      <c r="AE39" s="398"/>
      <c r="AF39" s="398"/>
      <c r="AG39" s="398"/>
      <c r="AH39" s="398"/>
      <c r="AI39" s="398"/>
      <c r="AJ39" s="236"/>
      <c r="AK39" s="14"/>
      <c r="AL39" s="14"/>
      <c r="AM39" s="14"/>
      <c r="AN39" s="14"/>
      <c r="AO39" s="14"/>
      <c r="AP39" s="14"/>
      <c r="AQ39" s="14"/>
      <c r="AR39" s="14"/>
      <c r="AS39" s="14"/>
      <c r="AT39" s="14"/>
      <c r="AU39" s="14"/>
      <c r="AV39" s="14"/>
      <c r="AW39" s="14"/>
      <c r="AX39" s="14"/>
      <c r="AY39" s="14"/>
      <c r="AZ39" s="14"/>
      <c r="BA39" s="14"/>
      <c r="BB39" s="14"/>
      <c r="BC39" s="14"/>
      <c r="BD39" s="14"/>
    </row>
    <row r="40" spans="2:56" ht="24.95" customHeight="1">
      <c r="B40" s="135">
        <f t="shared" si="0"/>
        <v>35</v>
      </c>
      <c r="C40" s="136" t="s">
        <v>232</v>
      </c>
      <c r="D40" s="136" t="s">
        <v>431</v>
      </c>
      <c r="E40" s="116" t="s">
        <v>51</v>
      </c>
      <c r="F40" s="116" t="s">
        <v>84</v>
      </c>
      <c r="G40" s="34" t="s">
        <v>187</v>
      </c>
      <c r="H40" s="154" t="s">
        <v>85</v>
      </c>
      <c r="I40" s="155"/>
      <c r="J40" s="155"/>
      <c r="K40" s="155"/>
      <c r="L40" s="155"/>
      <c r="M40" s="155"/>
      <c r="N40" s="155"/>
      <c r="O40" s="155"/>
      <c r="P40" s="155"/>
      <c r="Q40" s="155"/>
      <c r="R40" s="155"/>
      <c r="S40" s="155"/>
      <c r="T40" s="155"/>
      <c r="U40" s="91"/>
      <c r="V40" s="15">
        <v>45049</v>
      </c>
      <c r="W40" s="8"/>
      <c r="X40" s="9"/>
      <c r="Y40" s="9"/>
      <c r="Z40" s="9"/>
      <c r="AA40" s="9"/>
      <c r="AB40" s="236" t="s">
        <v>91</v>
      </c>
      <c r="AC40" s="236" t="s">
        <v>91</v>
      </c>
      <c r="AD40" s="236" t="s">
        <v>435</v>
      </c>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2:56" ht="24.95" customHeight="1">
      <c r="B41" s="135">
        <f t="shared" si="0"/>
        <v>36</v>
      </c>
      <c r="C41" s="136" t="s">
        <v>231</v>
      </c>
      <c r="D41" s="136" t="s">
        <v>431</v>
      </c>
      <c r="E41" s="116" t="s">
        <v>87</v>
      </c>
      <c r="F41" s="116" t="s">
        <v>7</v>
      </c>
      <c r="G41" s="34" t="s">
        <v>187</v>
      </c>
      <c r="H41" s="154" t="s">
        <v>88</v>
      </c>
      <c r="I41" s="155"/>
      <c r="J41" s="155"/>
      <c r="K41" s="155"/>
      <c r="L41" s="155"/>
      <c r="M41" s="155"/>
      <c r="N41" s="155"/>
      <c r="O41" s="155"/>
      <c r="P41" s="155"/>
      <c r="Q41" s="155"/>
      <c r="R41" s="155"/>
      <c r="S41" s="155"/>
      <c r="T41" s="155"/>
      <c r="U41" s="91"/>
      <c r="V41" s="15">
        <v>45096</v>
      </c>
      <c r="W41" s="8"/>
      <c r="X41" s="9"/>
      <c r="Y41" s="9"/>
      <c r="Z41" s="9"/>
      <c r="AA41" s="9"/>
      <c r="AB41" s="9"/>
      <c r="AC41" s="404"/>
      <c r="AD41" s="404"/>
      <c r="AE41" s="404"/>
      <c r="AF41" s="10"/>
      <c r="AG41" s="10"/>
      <c r="AH41" s="10"/>
      <c r="AI41" s="236" t="s">
        <v>91</v>
      </c>
      <c r="AJ41" s="236" t="s">
        <v>91</v>
      </c>
      <c r="AK41" s="372" t="s">
        <v>1050</v>
      </c>
      <c r="AL41" s="371" t="s">
        <v>1060</v>
      </c>
      <c r="AM41" s="371" t="s">
        <v>1061</v>
      </c>
      <c r="AN41" s="10"/>
      <c r="AO41" s="10"/>
      <c r="AP41" s="10"/>
      <c r="AQ41" s="10"/>
      <c r="AR41" s="10"/>
      <c r="AS41" s="10"/>
      <c r="AT41" s="10"/>
      <c r="AU41" s="10"/>
      <c r="AV41" s="10"/>
      <c r="AW41" s="10"/>
      <c r="AX41" s="10"/>
      <c r="AY41" s="10"/>
      <c r="AZ41" s="10"/>
      <c r="BA41" s="10"/>
      <c r="BB41" s="10"/>
      <c r="BC41" s="10"/>
      <c r="BD41" s="10"/>
    </row>
    <row r="42" spans="2:56" ht="24.95" customHeight="1">
      <c r="B42" s="135">
        <f t="shared" si="0"/>
        <v>37</v>
      </c>
      <c r="C42" s="136" t="s">
        <v>231</v>
      </c>
      <c r="D42" s="136" t="s">
        <v>431</v>
      </c>
      <c r="E42" s="116" t="s">
        <v>89</v>
      </c>
      <c r="F42" s="116" t="s">
        <v>9</v>
      </c>
      <c r="G42" s="34" t="s">
        <v>187</v>
      </c>
      <c r="H42" s="154" t="s">
        <v>88</v>
      </c>
      <c r="I42" s="155"/>
      <c r="J42" s="155"/>
      <c r="K42" s="155"/>
      <c r="L42" s="155"/>
      <c r="M42" s="155"/>
      <c r="N42" s="155"/>
      <c r="O42" s="155"/>
      <c r="P42" s="155"/>
      <c r="Q42" s="155"/>
      <c r="R42" s="155"/>
      <c r="S42" s="155"/>
      <c r="T42" s="155"/>
      <c r="U42" s="91"/>
      <c r="V42" s="15">
        <v>45096</v>
      </c>
      <c r="W42" s="8"/>
      <c r="X42" s="9"/>
      <c r="Y42" s="9"/>
      <c r="Z42" s="9"/>
      <c r="AA42" s="9"/>
      <c r="AB42" s="404"/>
      <c r="AC42" s="404"/>
      <c r="AD42" s="404"/>
      <c r="AE42" s="404"/>
      <c r="AF42" s="10"/>
      <c r="AG42" s="10"/>
      <c r="AH42" s="10" t="s">
        <v>86</v>
      </c>
      <c r="AI42" s="236" t="s">
        <v>91</v>
      </c>
      <c r="AJ42" s="236" t="s">
        <v>91</v>
      </c>
      <c r="AK42" s="372" t="s">
        <v>1050</v>
      </c>
      <c r="AL42" s="371" t="s">
        <v>1060</v>
      </c>
      <c r="AM42" s="371" t="s">
        <v>1061</v>
      </c>
      <c r="AN42" s="10"/>
      <c r="AO42" s="10"/>
      <c r="AP42" s="10"/>
      <c r="AQ42" s="10"/>
      <c r="AR42" s="10"/>
      <c r="AS42" s="10"/>
      <c r="AT42" s="10"/>
      <c r="AU42" s="10"/>
      <c r="AV42" s="10"/>
      <c r="AW42" s="10"/>
      <c r="AX42" s="10"/>
      <c r="AY42" s="10"/>
      <c r="AZ42" s="10"/>
      <c r="BA42" s="10"/>
      <c r="BB42" s="10"/>
      <c r="BC42" s="10"/>
      <c r="BD42" s="10"/>
    </row>
    <row r="43" spans="2:56" ht="24.95" customHeight="1">
      <c r="B43" s="117">
        <f t="shared" si="0"/>
        <v>38</v>
      </c>
      <c r="C43" s="120" t="s">
        <v>231</v>
      </c>
      <c r="D43" s="120" t="s">
        <v>223</v>
      </c>
      <c r="E43" s="118" t="s">
        <v>51</v>
      </c>
      <c r="F43" s="118" t="s">
        <v>62</v>
      </c>
      <c r="G43" s="119" t="s">
        <v>187</v>
      </c>
      <c r="H43" s="152" t="s">
        <v>90</v>
      </c>
      <c r="I43" s="153"/>
      <c r="J43" s="153"/>
      <c r="K43" s="153"/>
      <c r="L43" s="153"/>
      <c r="M43" s="153"/>
      <c r="N43" s="153"/>
      <c r="O43" s="153"/>
      <c r="P43" s="153"/>
      <c r="Q43" s="153"/>
      <c r="R43" s="153"/>
      <c r="S43" s="153"/>
      <c r="T43" s="153"/>
      <c r="U43" s="91"/>
      <c r="V43" s="15" t="s">
        <v>1053</v>
      </c>
      <c r="W43" s="8"/>
      <c r="X43" s="9"/>
      <c r="Y43" s="9"/>
      <c r="Z43" s="9"/>
      <c r="AA43" s="9"/>
      <c r="AB43" s="9"/>
      <c r="AC43" s="10"/>
      <c r="AD43" s="10"/>
      <c r="AE43" s="10"/>
      <c r="AF43" s="10"/>
      <c r="AG43" s="10"/>
      <c r="AH43" s="10"/>
      <c r="AI43" s="10"/>
      <c r="AJ43" s="10"/>
      <c r="AK43" s="10"/>
      <c r="AL43" s="10"/>
      <c r="AM43" s="10"/>
      <c r="AN43" s="10"/>
      <c r="AO43" s="10"/>
      <c r="AP43" s="10"/>
      <c r="AQ43" s="10"/>
      <c r="AR43" s="372" t="s">
        <v>1047</v>
      </c>
      <c r="AS43" s="372" t="s">
        <v>1048</v>
      </c>
      <c r="AT43" s="372" t="s">
        <v>1049</v>
      </c>
      <c r="AU43" s="372" t="s">
        <v>1049</v>
      </c>
      <c r="AV43" s="10"/>
      <c r="AW43" s="10"/>
      <c r="AX43" s="10"/>
      <c r="AY43" s="10"/>
      <c r="AZ43" s="10"/>
      <c r="BA43" s="10"/>
      <c r="BB43" s="10"/>
      <c r="BC43" s="10"/>
      <c r="BD43" s="10"/>
    </row>
    <row r="44" spans="2:56" ht="24.95" customHeight="1">
      <c r="B44" s="135">
        <f t="shared" si="0"/>
        <v>39</v>
      </c>
      <c r="C44" s="136" t="s">
        <v>231</v>
      </c>
      <c r="D44" s="136" t="s">
        <v>228</v>
      </c>
      <c r="E44" s="116" t="s">
        <v>51</v>
      </c>
      <c r="F44" s="320" t="s">
        <v>11</v>
      </c>
      <c r="G44" s="34" t="s">
        <v>187</v>
      </c>
      <c r="H44" s="154" t="s">
        <v>88</v>
      </c>
      <c r="I44" s="155"/>
      <c r="J44" s="155"/>
      <c r="K44" s="155"/>
      <c r="L44" s="155"/>
      <c r="M44" s="155"/>
      <c r="N44" s="155"/>
      <c r="O44" s="155"/>
      <c r="P44" s="155"/>
      <c r="Q44" s="155"/>
      <c r="R44" s="155"/>
      <c r="S44" s="155"/>
      <c r="T44" s="155"/>
      <c r="U44" s="91"/>
      <c r="V44" s="15" t="s">
        <v>1059</v>
      </c>
      <c r="W44" s="9"/>
      <c r="X44" s="9"/>
      <c r="Y44" s="9"/>
      <c r="Z44" s="9"/>
      <c r="AA44" s="9"/>
      <c r="AB44" s="9"/>
      <c r="AC44" s="10"/>
      <c r="AD44" s="10"/>
      <c r="AE44" s="10"/>
      <c r="AF44" s="10"/>
      <c r="AG44" s="10"/>
      <c r="AH44" s="10"/>
      <c r="AI44" s="10"/>
      <c r="AJ44" s="10"/>
      <c r="AK44" s="10"/>
      <c r="AL44" s="10"/>
      <c r="AM44" s="372" t="s">
        <v>1050</v>
      </c>
      <c r="AN44" s="371" t="s">
        <v>1060</v>
      </c>
      <c r="AO44" s="371" t="s">
        <v>1061</v>
      </c>
      <c r="AP44" s="10"/>
      <c r="AQ44" s="10"/>
      <c r="AR44" s="10"/>
      <c r="AS44" s="10"/>
      <c r="AT44" s="10"/>
      <c r="AU44" s="10"/>
      <c r="AV44" s="10"/>
      <c r="AW44" s="10"/>
      <c r="AX44" s="10"/>
      <c r="AY44" s="10"/>
      <c r="AZ44" s="10"/>
      <c r="BA44" s="10"/>
      <c r="BB44" s="10"/>
      <c r="BC44" s="10"/>
      <c r="BD44" s="10"/>
    </row>
    <row r="45" spans="2:56" s="203" customFormat="1" ht="24.95" customHeight="1">
      <c r="B45" s="135">
        <v>40</v>
      </c>
      <c r="C45" s="136" t="s">
        <v>231</v>
      </c>
      <c r="D45" s="136" t="s">
        <v>228</v>
      </c>
      <c r="E45" s="116" t="s">
        <v>51</v>
      </c>
      <c r="F45" s="320" t="s">
        <v>1057</v>
      </c>
      <c r="G45" s="34" t="s">
        <v>176</v>
      </c>
      <c r="H45" s="154" t="s">
        <v>3</v>
      </c>
      <c r="I45" s="155"/>
      <c r="J45" s="155"/>
      <c r="K45" s="155"/>
      <c r="L45" s="155"/>
      <c r="M45" s="155"/>
      <c r="N45" s="155"/>
      <c r="O45" s="155"/>
      <c r="P45" s="155"/>
      <c r="Q45" s="155"/>
      <c r="R45" s="155"/>
      <c r="S45" s="155"/>
      <c r="T45" s="155"/>
      <c r="U45" s="91"/>
      <c r="V45" s="15" t="s">
        <v>1058</v>
      </c>
      <c r="W45" s="398"/>
      <c r="X45" s="398"/>
      <c r="Y45" s="398"/>
      <c r="Z45" s="398"/>
      <c r="AA45" s="398"/>
      <c r="AB45" s="398"/>
      <c r="AC45" s="10"/>
      <c r="AD45" s="10"/>
      <c r="AE45" s="10"/>
      <c r="AF45" s="10"/>
      <c r="AG45" s="10"/>
      <c r="AH45" s="10"/>
      <c r="AI45" s="10"/>
      <c r="AJ45" s="10"/>
      <c r="AK45" s="10"/>
      <c r="AL45" s="10"/>
      <c r="AM45" s="10"/>
      <c r="AN45" s="10"/>
      <c r="AO45" s="10"/>
      <c r="AP45" s="372" t="s">
        <v>1050</v>
      </c>
      <c r="AQ45" s="371" t="s">
        <v>1060</v>
      </c>
      <c r="AR45" s="371" t="s">
        <v>1061</v>
      </c>
      <c r="AS45" s="10"/>
      <c r="AT45" s="10"/>
      <c r="AU45" s="10"/>
      <c r="AV45" s="10"/>
      <c r="AW45" s="10"/>
      <c r="AX45" s="10"/>
      <c r="AY45" s="10"/>
      <c r="AZ45" s="10"/>
      <c r="BA45" s="10"/>
      <c r="BB45" s="10"/>
      <c r="BC45" s="10"/>
      <c r="BD45" s="10"/>
    </row>
    <row r="46" spans="2:56" ht="24.95" customHeight="1">
      <c r="B46" s="135">
        <f>+B44+1</f>
        <v>40</v>
      </c>
      <c r="C46" s="136" t="s">
        <v>231</v>
      </c>
      <c r="D46" s="136" t="s">
        <v>228</v>
      </c>
      <c r="E46" s="116" t="s">
        <v>51</v>
      </c>
      <c r="F46" s="116" t="s">
        <v>8</v>
      </c>
      <c r="G46" s="34" t="s">
        <v>187</v>
      </c>
      <c r="H46" s="154" t="s">
        <v>3</v>
      </c>
      <c r="I46" s="155"/>
      <c r="J46" s="155"/>
      <c r="K46" s="155"/>
      <c r="L46" s="155"/>
      <c r="M46" s="155"/>
      <c r="N46" s="155"/>
      <c r="O46" s="155"/>
      <c r="P46" s="155"/>
      <c r="Q46" s="155"/>
      <c r="R46" s="155"/>
      <c r="S46" s="155"/>
      <c r="T46" s="155"/>
      <c r="U46" s="91"/>
      <c r="V46" s="15" t="s">
        <v>1075</v>
      </c>
      <c r="W46" s="9"/>
      <c r="X46" s="9"/>
      <c r="Y46" s="9"/>
      <c r="Z46" s="9"/>
      <c r="AA46" s="9"/>
      <c r="AB46" s="9"/>
      <c r="AC46" s="10"/>
      <c r="AD46" s="10"/>
      <c r="AE46" s="10"/>
      <c r="AF46" s="10"/>
      <c r="AG46" s="10"/>
      <c r="AH46" s="232" t="s">
        <v>1062</v>
      </c>
      <c r="AI46" s="232" t="s">
        <v>1062</v>
      </c>
      <c r="AJ46" s="232" t="s">
        <v>1063</v>
      </c>
      <c r="AK46" s="13" t="s">
        <v>1063</v>
      </c>
      <c r="AL46" s="13" t="s">
        <v>1063</v>
      </c>
      <c r="AM46" s="13" t="s">
        <v>1063</v>
      </c>
      <c r="AN46" s="13" t="s">
        <v>1063</v>
      </c>
      <c r="AO46" s="10"/>
      <c r="AP46" s="10"/>
      <c r="AQ46" s="10"/>
      <c r="AR46" s="10"/>
      <c r="AS46" s="10"/>
      <c r="AT46" s="10"/>
      <c r="AU46" s="10"/>
      <c r="AV46" s="10"/>
      <c r="AW46" s="10"/>
      <c r="AX46" s="10"/>
      <c r="AY46" s="10"/>
      <c r="AZ46" s="10"/>
      <c r="BA46" s="10"/>
      <c r="BB46" s="10"/>
      <c r="BC46" s="10"/>
      <c r="BD46" s="10"/>
    </row>
    <row r="47" spans="2:56" ht="24.95" customHeight="1">
      <c r="B47" s="117">
        <f t="shared" si="0"/>
        <v>41</v>
      </c>
      <c r="C47" s="120" t="s">
        <v>231</v>
      </c>
      <c r="D47" s="120" t="s">
        <v>223</v>
      </c>
      <c r="E47" s="118" t="s">
        <v>89</v>
      </c>
      <c r="F47" s="118" t="s">
        <v>92</v>
      </c>
      <c r="G47" s="119" t="s">
        <v>187</v>
      </c>
      <c r="H47" s="152" t="s">
        <v>456</v>
      </c>
      <c r="I47" s="153"/>
      <c r="J47" s="153"/>
      <c r="K47" s="153"/>
      <c r="L47" s="153"/>
      <c r="M47" s="153"/>
      <c r="N47" s="153"/>
      <c r="O47" s="153"/>
      <c r="P47" s="153"/>
      <c r="Q47" s="153"/>
      <c r="R47" s="153"/>
      <c r="S47" s="153"/>
      <c r="T47" s="153"/>
      <c r="U47" s="91"/>
      <c r="V47" s="15" t="s">
        <v>1054</v>
      </c>
      <c r="W47" s="9"/>
      <c r="X47" s="9"/>
      <c r="Z47" s="9"/>
      <c r="AA47" s="9"/>
      <c r="AB47" s="9"/>
      <c r="AC47" s="9"/>
      <c r="AD47" s="10"/>
      <c r="AE47" s="10"/>
      <c r="AF47" s="10"/>
      <c r="AG47" s="10"/>
      <c r="AH47" s="10"/>
      <c r="AI47" s="10"/>
      <c r="AJ47" s="10"/>
      <c r="AK47" s="10"/>
      <c r="AL47" s="10"/>
      <c r="AM47" s="10"/>
      <c r="AN47" s="10"/>
      <c r="AO47" s="10"/>
      <c r="AP47" s="10"/>
      <c r="AQ47" s="10"/>
      <c r="AR47" s="10"/>
      <c r="AS47" s="10"/>
      <c r="AT47" s="10"/>
      <c r="AU47" s="10"/>
      <c r="AV47" s="372" t="s">
        <v>1050</v>
      </c>
      <c r="AW47" s="372" t="s">
        <v>1050</v>
      </c>
      <c r="AX47" s="372" t="s">
        <v>1050</v>
      </c>
      <c r="AY47" s="372" t="s">
        <v>1052</v>
      </c>
      <c r="AZ47" s="372" t="s">
        <v>1051</v>
      </c>
      <c r="BA47" s="10"/>
      <c r="BB47" s="10"/>
      <c r="BC47" s="10"/>
      <c r="BD47" s="10"/>
    </row>
    <row r="48" spans="2:56" ht="24.95" customHeight="1">
      <c r="B48" s="135">
        <f t="shared" si="0"/>
        <v>42</v>
      </c>
      <c r="C48" s="136" t="s">
        <v>241</v>
      </c>
      <c r="D48" s="136" t="s">
        <v>437</v>
      </c>
      <c r="E48" s="116" t="s">
        <v>89</v>
      </c>
      <c r="F48" s="116" t="s">
        <v>93</v>
      </c>
      <c r="G48" s="34" t="s">
        <v>174</v>
      </c>
      <c r="H48" s="154" t="s">
        <v>240</v>
      </c>
      <c r="I48" s="155"/>
      <c r="J48" s="155"/>
      <c r="K48" s="155"/>
      <c r="L48" s="155"/>
      <c r="M48" s="155"/>
      <c r="N48" s="155"/>
      <c r="O48" s="155"/>
      <c r="P48" s="155"/>
      <c r="Q48" s="155"/>
      <c r="R48" s="155"/>
      <c r="S48" s="155"/>
      <c r="T48" s="155"/>
      <c r="U48" s="97"/>
      <c r="V48" s="15" t="s">
        <v>436</v>
      </c>
      <c r="W48" s="9"/>
      <c r="X48" s="9"/>
      <c r="Y48" s="235" t="s">
        <v>438</v>
      </c>
      <c r="Z48" s="106"/>
      <c r="AA48" s="106"/>
      <c r="AB48" s="106"/>
      <c r="AC48" s="235" t="s">
        <v>439</v>
      </c>
      <c r="AD48" s="10"/>
      <c r="AE48" s="10"/>
      <c r="AF48" s="10"/>
      <c r="AG48" s="10"/>
      <c r="AH48" s="235" t="s">
        <v>832</v>
      </c>
      <c r="AI48" s="10"/>
      <c r="AJ48" s="236" t="s">
        <v>833</v>
      </c>
      <c r="AK48" s="14" t="s">
        <v>834</v>
      </c>
      <c r="AL48" s="14" t="s">
        <v>835</v>
      </c>
      <c r="AM48" s="10"/>
      <c r="AN48" s="10"/>
      <c r="AO48" s="10"/>
      <c r="AP48" s="10"/>
      <c r="AQ48" s="10"/>
      <c r="AR48" s="10"/>
      <c r="AS48" s="10"/>
      <c r="AT48" s="10"/>
      <c r="AU48" s="10"/>
      <c r="AV48" s="10"/>
      <c r="AW48" s="10"/>
      <c r="AX48" s="10"/>
      <c r="AY48" s="10"/>
      <c r="AZ48" s="10"/>
      <c r="BA48" s="10"/>
      <c r="BB48" s="10"/>
      <c r="BC48" s="10"/>
      <c r="BD48" s="10"/>
    </row>
    <row r="49" spans="1:56" ht="24.95" customHeight="1">
      <c r="B49" s="121">
        <f t="shared" si="0"/>
        <v>43</v>
      </c>
      <c r="C49" s="122" t="s">
        <v>242</v>
      </c>
      <c r="D49" s="122" t="s">
        <v>223</v>
      </c>
      <c r="E49" s="118" t="s">
        <v>41</v>
      </c>
      <c r="F49" s="118" t="s">
        <v>55</v>
      </c>
      <c r="G49" s="119" t="s">
        <v>184</v>
      </c>
      <c r="H49" s="152" t="s">
        <v>117</v>
      </c>
      <c r="I49" s="153"/>
      <c r="J49" s="153"/>
      <c r="K49" s="153"/>
      <c r="L49" s="153"/>
      <c r="M49" s="153"/>
      <c r="N49" s="153"/>
      <c r="O49" s="153"/>
      <c r="P49" s="153"/>
      <c r="Q49" s="153"/>
      <c r="R49" s="153"/>
      <c r="S49" s="153"/>
      <c r="T49" s="153"/>
      <c r="U49" s="95"/>
      <c r="V49" s="15" t="s">
        <v>432</v>
      </c>
      <c r="W49" s="9"/>
      <c r="X49" s="38"/>
      <c r="Y49" s="9"/>
      <c r="Z49" s="9"/>
      <c r="AA49" s="9"/>
      <c r="AB49" s="9"/>
      <c r="AC49" s="9"/>
      <c r="AD49" s="10"/>
      <c r="AE49" s="10"/>
      <c r="AF49" s="10"/>
      <c r="AG49" s="10"/>
      <c r="AH49" s="10"/>
      <c r="AI49" s="10"/>
      <c r="AJ49" s="10"/>
      <c r="AK49" s="13" t="s">
        <v>1014</v>
      </c>
      <c r="AL49" s="13" t="s">
        <v>1015</v>
      </c>
      <c r="AM49" s="13" t="s">
        <v>38</v>
      </c>
      <c r="AN49" s="13" t="s">
        <v>38</v>
      </c>
      <c r="AO49" s="13" t="s">
        <v>38</v>
      </c>
      <c r="AP49" s="14" t="s">
        <v>411</v>
      </c>
      <c r="AQ49" s="10"/>
      <c r="AR49" s="10"/>
      <c r="AS49" s="10"/>
      <c r="AT49" s="10"/>
      <c r="AU49" s="10"/>
      <c r="AV49" s="10"/>
      <c r="AW49" s="10"/>
      <c r="AX49" s="10"/>
      <c r="AY49" s="10"/>
      <c r="AZ49" s="10"/>
      <c r="BA49" s="10"/>
      <c r="BB49" s="10"/>
      <c r="BC49" s="10"/>
      <c r="BD49" s="10"/>
    </row>
    <row r="50" spans="1:56" ht="24.95" customHeight="1">
      <c r="B50" s="117">
        <f t="shared" si="0"/>
        <v>44</v>
      </c>
      <c r="C50" s="141" t="s">
        <v>243</v>
      </c>
      <c r="D50" s="141" t="s">
        <v>223</v>
      </c>
      <c r="E50" s="118" t="s">
        <v>51</v>
      </c>
      <c r="F50" s="118" t="s">
        <v>122</v>
      </c>
      <c r="G50" s="119" t="s">
        <v>175</v>
      </c>
      <c r="H50" s="152" t="s">
        <v>120</v>
      </c>
      <c r="I50" s="153"/>
      <c r="J50" s="153"/>
      <c r="K50" s="153"/>
      <c r="L50" s="153"/>
      <c r="M50" s="153"/>
      <c r="N50" s="153"/>
      <c r="O50" s="153"/>
      <c r="P50" s="153"/>
      <c r="Q50" s="153"/>
      <c r="R50" s="153"/>
      <c r="S50" s="153"/>
      <c r="T50" s="153"/>
      <c r="U50" s="96"/>
      <c r="V50" s="15" t="s">
        <v>118</v>
      </c>
      <c r="W50" s="8"/>
      <c r="X50" s="9"/>
      <c r="Y50" s="9"/>
      <c r="Z50" s="9"/>
      <c r="AA50" s="9"/>
      <c r="AB50" s="9"/>
      <c r="AC50" s="9"/>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ht="24.95" hidden="1" customHeight="1">
      <c r="B51" s="339">
        <f t="shared" si="0"/>
        <v>45</v>
      </c>
      <c r="C51" s="340" t="s">
        <v>234</v>
      </c>
      <c r="D51" s="340" t="s">
        <v>224</v>
      </c>
      <c r="E51" s="317" t="s">
        <v>51</v>
      </c>
      <c r="F51" s="232" t="s">
        <v>46</v>
      </c>
      <c r="G51" s="318" t="s">
        <v>179</v>
      </c>
      <c r="H51" s="275" t="s">
        <v>121</v>
      </c>
      <c r="I51" s="272"/>
      <c r="J51" s="272"/>
      <c r="K51" s="272"/>
      <c r="L51" s="272"/>
      <c r="M51" s="272"/>
      <c r="N51" s="272"/>
      <c r="O51" s="272"/>
      <c r="P51" s="272"/>
      <c r="Q51" s="272"/>
      <c r="R51" s="272"/>
      <c r="S51" s="272"/>
      <c r="T51" s="272"/>
      <c r="U51" s="98">
        <v>2</v>
      </c>
      <c r="V51" s="15">
        <v>45066</v>
      </c>
      <c r="W51" s="8"/>
      <c r="X51" s="9"/>
      <c r="Y51" s="38"/>
      <c r="Z51" s="106"/>
      <c r="AA51" s="106"/>
      <c r="AB51" s="9"/>
      <c r="AC51" s="207"/>
      <c r="AD51" s="236" t="s">
        <v>234</v>
      </c>
      <c r="AE51" s="236" t="s">
        <v>234</v>
      </c>
      <c r="AF51" s="236" t="s">
        <v>676</v>
      </c>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ht="24.95" customHeight="1">
      <c r="B52" s="121">
        <f t="shared" si="0"/>
        <v>46</v>
      </c>
      <c r="C52" s="142" t="s">
        <v>244</v>
      </c>
      <c r="D52" s="142" t="s">
        <v>223</v>
      </c>
      <c r="E52" s="118" t="s">
        <v>51</v>
      </c>
      <c r="F52" s="123" t="s">
        <v>46</v>
      </c>
      <c r="G52" s="124" t="s">
        <v>174</v>
      </c>
      <c r="H52" s="156" t="s">
        <v>455</v>
      </c>
      <c r="I52" s="157"/>
      <c r="J52" s="157"/>
      <c r="K52" s="157"/>
      <c r="L52" s="157"/>
      <c r="M52" s="157"/>
      <c r="N52" s="157"/>
      <c r="O52" s="157"/>
      <c r="P52" s="157"/>
      <c r="Q52" s="157"/>
      <c r="R52" s="157"/>
      <c r="S52" s="157"/>
      <c r="T52" s="157"/>
      <c r="U52" s="95"/>
      <c r="V52" s="39" t="s">
        <v>221</v>
      </c>
      <c r="W52" s="8"/>
      <c r="X52" s="9"/>
      <c r="Y52" s="9"/>
      <c r="Z52" s="9"/>
      <c r="AA52" s="9"/>
      <c r="AB52" s="9"/>
      <c r="AC52" s="9"/>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ht="24.95" customHeight="1">
      <c r="B53" s="139">
        <f t="shared" si="0"/>
        <v>47</v>
      </c>
      <c r="C53" s="144" t="s">
        <v>245</v>
      </c>
      <c r="D53" s="144" t="s">
        <v>223</v>
      </c>
      <c r="E53" s="140" t="s">
        <v>51</v>
      </c>
      <c r="F53" s="86" t="s">
        <v>46</v>
      </c>
      <c r="G53" s="86" t="s">
        <v>173</v>
      </c>
      <c r="H53" s="128" t="s">
        <v>454</v>
      </c>
      <c r="I53" s="129"/>
      <c r="J53" s="129"/>
      <c r="K53" s="129"/>
      <c r="L53" s="129"/>
      <c r="M53" s="129"/>
      <c r="N53" s="129"/>
      <c r="O53" s="129"/>
      <c r="P53" s="129"/>
      <c r="Q53" s="129"/>
      <c r="R53" s="129"/>
      <c r="S53" s="129"/>
      <c r="T53" s="129"/>
      <c r="U53" s="99"/>
      <c r="V53" s="39" t="s">
        <v>221</v>
      </c>
      <c r="W53" s="8"/>
      <c r="X53" s="9"/>
      <c r="Y53" s="38"/>
      <c r="Z53" s="106"/>
      <c r="AA53" s="106"/>
      <c r="AB53" s="9"/>
      <c r="AC53" s="9"/>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ht="24.95" customHeight="1">
      <c r="A54" s="19"/>
      <c r="B54" s="125">
        <f t="shared" si="0"/>
        <v>48</v>
      </c>
      <c r="C54" s="143" t="s">
        <v>246</v>
      </c>
      <c r="D54" s="143" t="s">
        <v>223</v>
      </c>
      <c r="E54" s="86" t="s">
        <v>51</v>
      </c>
      <c r="F54" s="127" t="s">
        <v>124</v>
      </c>
      <c r="G54" s="127" t="s">
        <v>174</v>
      </c>
      <c r="H54" s="128" t="s">
        <v>860</v>
      </c>
      <c r="I54" s="129"/>
      <c r="J54" s="129"/>
      <c r="K54" s="129"/>
      <c r="L54" s="129"/>
      <c r="M54" s="129"/>
      <c r="N54" s="129"/>
      <c r="O54" s="129"/>
      <c r="P54" s="129"/>
      <c r="Q54" s="129"/>
      <c r="R54" s="129"/>
      <c r="S54" s="129"/>
      <c r="T54" s="129"/>
      <c r="U54" s="100">
        <v>4</v>
      </c>
      <c r="V54" s="39" t="s">
        <v>221</v>
      </c>
      <c r="W54" s="8"/>
      <c r="X54" s="9"/>
      <c r="Y54" s="9"/>
      <c r="Z54" s="9"/>
      <c r="AA54" s="9"/>
      <c r="AB54" s="9"/>
      <c r="AC54" s="9"/>
      <c r="AD54" s="10"/>
      <c r="AE54" s="10"/>
      <c r="AF54" s="10"/>
      <c r="AG54" s="10"/>
      <c r="AH54" s="10"/>
      <c r="AI54" s="9"/>
      <c r="AJ54" s="106"/>
      <c r="AK54" s="106"/>
      <c r="AL54" s="295"/>
      <c r="AM54" s="295"/>
      <c r="AN54" s="295"/>
      <c r="AO54" s="295"/>
      <c r="AP54" s="106"/>
      <c r="AQ54" s="365"/>
      <c r="AR54" s="365"/>
      <c r="AS54" s="365"/>
      <c r="AT54" s="365"/>
      <c r="AU54" s="365"/>
      <c r="AV54" s="365"/>
      <c r="AW54" s="365"/>
      <c r="AX54" s="365"/>
      <c r="AY54" s="365"/>
      <c r="AZ54" s="365"/>
      <c r="BA54" s="365"/>
      <c r="BB54" s="365"/>
      <c r="BC54" s="365"/>
      <c r="BD54" s="365"/>
    </row>
    <row r="55" spans="1:56" ht="24.95" hidden="1" customHeight="1">
      <c r="A55" s="19"/>
      <c r="B55" s="260">
        <f t="shared" si="0"/>
        <v>49</v>
      </c>
      <c r="C55" s="261" t="s">
        <v>241</v>
      </c>
      <c r="D55" s="247" t="s">
        <v>665</v>
      </c>
      <c r="E55" s="262" t="s">
        <v>51</v>
      </c>
      <c r="F55" s="241" t="s">
        <v>169</v>
      </c>
      <c r="G55" s="241" t="s">
        <v>179</v>
      </c>
      <c r="H55" s="435" t="s">
        <v>170</v>
      </c>
      <c r="I55" s="436"/>
      <c r="J55" s="436"/>
      <c r="K55" s="436"/>
      <c r="L55" s="436"/>
      <c r="M55" s="436"/>
      <c r="N55" s="436"/>
      <c r="O55" s="436"/>
      <c r="P55" s="436"/>
      <c r="Q55" s="436"/>
      <c r="R55" s="436"/>
      <c r="S55" s="436"/>
      <c r="T55" s="436"/>
      <c r="U55" s="101"/>
      <c r="V55" s="15">
        <v>45047</v>
      </c>
      <c r="W55" s="8"/>
      <c r="X55" s="9"/>
      <c r="Y55" s="38"/>
      <c r="Z55" s="106"/>
      <c r="AA55" s="9"/>
      <c r="AB55" s="9"/>
      <c r="AC55" s="236" t="s">
        <v>234</v>
      </c>
      <c r="AD55" s="236" t="s">
        <v>234</v>
      </c>
      <c r="AE55" s="10"/>
      <c r="AF55" s="10"/>
      <c r="AG55" s="10"/>
      <c r="AH55" s="10"/>
      <c r="AI55" s="9"/>
      <c r="AJ55" s="106"/>
      <c r="AK55" s="106"/>
      <c r="AL55" s="295"/>
      <c r="AM55" s="295"/>
      <c r="AN55" s="295"/>
      <c r="AO55" s="295"/>
      <c r="AP55" s="106"/>
      <c r="AQ55" s="365"/>
      <c r="AR55" s="365"/>
      <c r="AS55" s="365"/>
      <c r="AT55" s="365"/>
      <c r="AU55" s="365"/>
      <c r="AV55" s="365"/>
      <c r="AW55" s="365"/>
      <c r="AX55" s="365"/>
      <c r="AY55" s="365"/>
      <c r="AZ55" s="365"/>
      <c r="BA55" s="365"/>
      <c r="BB55" s="365"/>
      <c r="BC55" s="365"/>
      <c r="BD55" s="365"/>
    </row>
    <row r="56" spans="1:56" ht="24.95" hidden="1" customHeight="1">
      <c r="A56" s="19"/>
      <c r="B56" s="266">
        <f t="shared" si="0"/>
        <v>50</v>
      </c>
      <c r="C56" s="261" t="s">
        <v>234</v>
      </c>
      <c r="D56" s="261" t="s">
        <v>224</v>
      </c>
      <c r="E56" s="262" t="s">
        <v>51</v>
      </c>
      <c r="F56" s="241" t="s">
        <v>190</v>
      </c>
      <c r="G56" s="242" t="s">
        <v>173</v>
      </c>
      <c r="H56" s="435" t="s">
        <v>412</v>
      </c>
      <c r="I56" s="436"/>
      <c r="J56" s="436"/>
      <c r="K56" s="436"/>
      <c r="L56" s="436"/>
      <c r="M56" s="436"/>
      <c r="N56" s="436"/>
      <c r="O56" s="436"/>
      <c r="P56" s="436"/>
      <c r="Q56" s="436"/>
      <c r="R56" s="436"/>
      <c r="S56" s="436"/>
      <c r="T56" s="436"/>
      <c r="U56" s="102"/>
      <c r="V56" s="15">
        <v>45056</v>
      </c>
      <c r="W56" s="8"/>
      <c r="X56" s="9"/>
      <c r="Y56" s="9"/>
      <c r="Z56" s="106"/>
      <c r="AA56" s="9"/>
      <c r="AB56" s="232" t="s">
        <v>405</v>
      </c>
      <c r="AC56" s="232" t="s">
        <v>208</v>
      </c>
      <c r="AD56" s="232" t="s">
        <v>208</v>
      </c>
      <c r="AE56" s="232" t="s">
        <v>656</v>
      </c>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ht="24.95" hidden="1" customHeight="1">
      <c r="A57" s="19"/>
      <c r="B57" s="266">
        <f t="shared" si="0"/>
        <v>51</v>
      </c>
      <c r="C57" s="267" t="s">
        <v>243</v>
      </c>
      <c r="D57" s="267" t="s">
        <v>224</v>
      </c>
      <c r="E57" s="262" t="s">
        <v>51</v>
      </c>
      <c r="F57" s="241" t="s">
        <v>191</v>
      </c>
      <c r="G57" s="242" t="s">
        <v>173</v>
      </c>
      <c r="H57" s="435" t="s">
        <v>192</v>
      </c>
      <c r="I57" s="436"/>
      <c r="J57" s="436"/>
      <c r="K57" s="436"/>
      <c r="L57" s="436"/>
      <c r="M57" s="436"/>
      <c r="N57" s="436"/>
      <c r="O57" s="436"/>
      <c r="P57" s="436"/>
      <c r="Q57" s="436"/>
      <c r="R57" s="436"/>
      <c r="S57" s="436"/>
      <c r="T57" s="436"/>
      <c r="U57" s="102">
        <v>3</v>
      </c>
      <c r="V57" s="15">
        <v>45022</v>
      </c>
      <c r="W57" s="8"/>
      <c r="X57" s="9"/>
      <c r="Y57" s="232" t="s">
        <v>208</v>
      </c>
      <c r="Z57" s="232" t="s">
        <v>315</v>
      </c>
      <c r="AA57" s="9"/>
      <c r="AB57" s="9"/>
      <c r="AC57" s="9"/>
      <c r="AD57" s="10"/>
      <c r="AE57" s="10"/>
      <c r="AF57" s="10"/>
      <c r="AG57" s="10"/>
      <c r="AH57" s="10"/>
      <c r="AI57" s="9"/>
      <c r="AJ57" s="106"/>
      <c r="AK57" s="106"/>
      <c r="AL57" s="295"/>
      <c r="AM57" s="295"/>
      <c r="AN57" s="295"/>
      <c r="AO57" s="295"/>
      <c r="AP57" s="106"/>
      <c r="AQ57" s="365"/>
      <c r="AR57" s="365"/>
      <c r="AS57" s="365"/>
      <c r="AT57" s="365"/>
      <c r="AU57" s="365"/>
      <c r="AV57" s="365"/>
      <c r="AW57" s="365"/>
      <c r="AX57" s="365"/>
      <c r="AY57" s="365"/>
      <c r="AZ57" s="365"/>
      <c r="BA57" s="365"/>
      <c r="BB57" s="365"/>
      <c r="BC57" s="365"/>
      <c r="BD57" s="365"/>
    </row>
    <row r="58" spans="1:56" ht="24.95" hidden="1" customHeight="1">
      <c r="A58" s="19"/>
      <c r="B58" s="266">
        <f t="shared" si="0"/>
        <v>52</v>
      </c>
      <c r="C58" s="267" t="s">
        <v>243</v>
      </c>
      <c r="D58" s="267" t="s">
        <v>224</v>
      </c>
      <c r="E58" s="262" t="s">
        <v>51</v>
      </c>
      <c r="F58" s="241" t="s">
        <v>193</v>
      </c>
      <c r="G58" s="242" t="s">
        <v>125</v>
      </c>
      <c r="H58" s="435" t="s">
        <v>194</v>
      </c>
      <c r="I58" s="436"/>
      <c r="J58" s="436"/>
      <c r="K58" s="436"/>
      <c r="L58" s="436"/>
      <c r="M58" s="436"/>
      <c r="N58" s="436"/>
      <c r="O58" s="436"/>
      <c r="P58" s="436"/>
      <c r="Q58" s="436"/>
      <c r="R58" s="436"/>
      <c r="S58" s="436"/>
      <c r="T58" s="436"/>
      <c r="U58" s="103"/>
      <c r="V58" s="39">
        <v>45036</v>
      </c>
      <c r="W58" s="8"/>
      <c r="X58" s="9"/>
      <c r="Y58" s="9"/>
      <c r="Z58" s="9"/>
      <c r="AA58" s="9"/>
      <c r="AB58" s="232" t="s">
        <v>656</v>
      </c>
      <c r="AC58" s="9"/>
      <c r="AD58" s="10"/>
      <c r="AE58" s="10"/>
      <c r="AF58" s="10"/>
      <c r="AG58" s="10"/>
      <c r="AH58" s="10"/>
      <c r="AI58" s="9"/>
      <c r="AJ58" s="106"/>
      <c r="AK58" s="106"/>
      <c r="AL58" s="295"/>
      <c r="AM58" s="295"/>
      <c r="AN58" s="295"/>
      <c r="AO58" s="295"/>
      <c r="AP58" s="106"/>
      <c r="AQ58" s="365"/>
      <c r="AR58" s="365"/>
      <c r="AS58" s="365"/>
      <c r="AT58" s="365"/>
      <c r="AU58" s="365"/>
      <c r="AV58" s="365"/>
      <c r="AW58" s="365"/>
      <c r="AX58" s="365"/>
      <c r="AY58" s="365"/>
      <c r="AZ58" s="365"/>
      <c r="BA58" s="365"/>
      <c r="BB58" s="365"/>
      <c r="BC58" s="365"/>
      <c r="BD58" s="365"/>
    </row>
    <row r="59" spans="1:56" ht="24.95" hidden="1" customHeight="1">
      <c r="A59" s="19"/>
      <c r="B59" s="266">
        <f t="shared" si="0"/>
        <v>53</v>
      </c>
      <c r="C59" s="267" t="s">
        <v>243</v>
      </c>
      <c r="D59" s="267" t="s">
        <v>453</v>
      </c>
      <c r="E59" s="262" t="s">
        <v>748</v>
      </c>
      <c r="F59" s="241" t="s">
        <v>193</v>
      </c>
      <c r="G59" s="242" t="s">
        <v>125</v>
      </c>
      <c r="H59" s="435" t="s">
        <v>195</v>
      </c>
      <c r="I59" s="436"/>
      <c r="J59" s="436"/>
      <c r="K59" s="436"/>
      <c r="L59" s="436"/>
      <c r="M59" s="436"/>
      <c r="N59" s="436"/>
      <c r="O59" s="436"/>
      <c r="P59" s="436"/>
      <c r="Q59" s="436"/>
      <c r="R59" s="436"/>
      <c r="S59" s="436"/>
      <c r="T59" s="436"/>
      <c r="U59" s="91"/>
      <c r="V59" s="15" t="s">
        <v>763</v>
      </c>
      <c r="W59" s="8"/>
      <c r="X59" s="9"/>
      <c r="Y59" s="9"/>
      <c r="Z59" s="9"/>
      <c r="AA59" s="9"/>
      <c r="AB59" s="232" t="s">
        <v>441</v>
      </c>
      <c r="AC59" s="232" t="s">
        <v>449</v>
      </c>
      <c r="AD59" s="10"/>
      <c r="AE59" s="10"/>
      <c r="AF59" s="10"/>
      <c r="AG59" s="10"/>
      <c r="AH59" s="10"/>
      <c r="AI59" s="9"/>
      <c r="AJ59" s="106"/>
      <c r="AK59" s="106"/>
      <c r="AL59" s="295"/>
      <c r="AM59" s="295"/>
      <c r="AN59" s="295"/>
      <c r="AO59" s="295"/>
      <c r="AP59" s="106"/>
      <c r="AQ59" s="365"/>
      <c r="AR59" s="365"/>
      <c r="AS59" s="365"/>
      <c r="AT59" s="365"/>
      <c r="AU59" s="365"/>
      <c r="AV59" s="365"/>
      <c r="AW59" s="365"/>
      <c r="AX59" s="365"/>
      <c r="AY59" s="365"/>
      <c r="AZ59" s="365"/>
      <c r="BA59" s="365"/>
      <c r="BB59" s="365"/>
      <c r="BC59" s="365"/>
      <c r="BD59" s="365"/>
    </row>
    <row r="60" spans="1:56" ht="24.95" customHeight="1">
      <c r="A60" s="19"/>
      <c r="B60" s="20">
        <f t="shared" si="0"/>
        <v>54</v>
      </c>
      <c r="C60" s="51" t="s">
        <v>243</v>
      </c>
      <c r="D60" s="51" t="s">
        <v>228</v>
      </c>
      <c r="E60" s="21" t="s">
        <v>748</v>
      </c>
      <c r="F60" s="22" t="s">
        <v>213</v>
      </c>
      <c r="G60" s="34" t="s">
        <v>125</v>
      </c>
      <c r="H60" s="109" t="s">
        <v>214</v>
      </c>
      <c r="I60" s="110"/>
      <c r="J60" s="110"/>
      <c r="K60" s="110"/>
      <c r="L60" s="110"/>
      <c r="M60" s="110"/>
      <c r="N60" s="110"/>
      <c r="O60" s="110"/>
      <c r="P60" s="110"/>
      <c r="Q60" s="110"/>
      <c r="R60" s="110"/>
      <c r="S60" s="110"/>
      <c r="T60" s="110"/>
      <c r="U60" s="104"/>
      <c r="V60" s="15" t="s">
        <v>763</v>
      </c>
      <c r="W60" s="8"/>
      <c r="X60" s="9"/>
      <c r="Y60" s="9"/>
      <c r="Z60" s="9"/>
      <c r="AA60" s="9"/>
      <c r="AB60" s="106"/>
      <c r="AD60" s="203"/>
      <c r="AE60" s="9"/>
      <c r="AF60" s="10"/>
      <c r="AG60" s="10"/>
      <c r="AH60" s="10"/>
      <c r="AI60" s="10"/>
      <c r="AJ60" s="10"/>
      <c r="AK60" s="13" t="s">
        <v>38</v>
      </c>
      <c r="AL60" s="13" t="s">
        <v>38</v>
      </c>
      <c r="AM60" s="14" t="s">
        <v>762</v>
      </c>
      <c r="AN60" s="295"/>
      <c r="AO60" s="295"/>
      <c r="AP60" s="106"/>
      <c r="AQ60" s="365"/>
      <c r="AR60" s="365"/>
      <c r="AS60" s="365"/>
      <c r="AT60" s="365"/>
      <c r="AU60" s="365"/>
      <c r="AV60" s="365"/>
      <c r="AW60" s="365"/>
      <c r="AX60" s="365"/>
      <c r="AY60" s="365"/>
      <c r="AZ60" s="365"/>
      <c r="BA60" s="365"/>
      <c r="BB60" s="365"/>
      <c r="BC60" s="365"/>
      <c r="BD60" s="365"/>
    </row>
    <row r="61" spans="1:56" ht="24.95" hidden="1" customHeight="1">
      <c r="A61" s="19"/>
      <c r="B61" s="250">
        <f t="shared" si="0"/>
        <v>55</v>
      </c>
      <c r="C61" s="267" t="s">
        <v>243</v>
      </c>
      <c r="D61" s="247" t="s">
        <v>665</v>
      </c>
      <c r="E61" s="262" t="s">
        <v>756</v>
      </c>
      <c r="F61" s="241" t="s">
        <v>757</v>
      </c>
      <c r="G61" s="242" t="s">
        <v>222</v>
      </c>
      <c r="H61" s="435" t="s">
        <v>386</v>
      </c>
      <c r="I61" s="436"/>
      <c r="J61" s="436"/>
      <c r="K61" s="436"/>
      <c r="L61" s="436"/>
      <c r="M61" s="436"/>
      <c r="N61" s="436"/>
      <c r="O61" s="436"/>
      <c r="P61" s="436"/>
      <c r="Q61" s="436"/>
      <c r="R61" s="436"/>
      <c r="S61" s="436"/>
      <c r="T61" s="436"/>
      <c r="U61" s="104"/>
      <c r="V61" s="39">
        <v>45051</v>
      </c>
      <c r="W61" s="8"/>
      <c r="X61" s="38"/>
      <c r="Y61" s="38"/>
      <c r="Z61" s="106"/>
      <c r="AA61" s="232"/>
      <c r="AB61" s="232" t="s">
        <v>406</v>
      </c>
      <c r="AC61" s="232" t="s">
        <v>407</v>
      </c>
      <c r="AD61" s="235" t="s">
        <v>408</v>
      </c>
      <c r="AE61" s="10"/>
      <c r="AF61" s="10"/>
      <c r="AG61" s="10"/>
      <c r="AH61" s="10"/>
      <c r="AI61" s="38"/>
      <c r="AJ61" s="106"/>
      <c r="AK61" s="106"/>
      <c r="AL61" s="295"/>
      <c r="AM61" s="295"/>
      <c r="AN61" s="295"/>
      <c r="AO61" s="295"/>
      <c r="AP61" s="106"/>
      <c r="AQ61" s="365"/>
      <c r="AR61" s="365"/>
      <c r="AS61" s="365"/>
      <c r="AT61" s="365"/>
      <c r="AU61" s="365"/>
      <c r="AV61" s="365"/>
      <c r="AW61" s="365"/>
      <c r="AX61" s="365"/>
      <c r="AY61" s="365"/>
      <c r="AZ61" s="365"/>
      <c r="BA61" s="365"/>
      <c r="BB61" s="365"/>
      <c r="BC61" s="365"/>
      <c r="BD61" s="365"/>
    </row>
    <row r="62" spans="1:56" ht="24.95" hidden="1" customHeight="1">
      <c r="A62" s="19"/>
      <c r="B62" s="266">
        <f t="shared" si="0"/>
        <v>56</v>
      </c>
      <c r="C62" s="267" t="s">
        <v>243</v>
      </c>
      <c r="D62" s="267" t="s">
        <v>224</v>
      </c>
      <c r="E62" s="262" t="s">
        <v>51</v>
      </c>
      <c r="F62" s="241" t="s">
        <v>225</v>
      </c>
      <c r="G62" s="242" t="s">
        <v>222</v>
      </c>
      <c r="H62" s="435" t="s">
        <v>226</v>
      </c>
      <c r="I62" s="436"/>
      <c r="J62" s="436"/>
      <c r="K62" s="436"/>
      <c r="L62" s="436"/>
      <c r="M62" s="436"/>
      <c r="N62" s="436"/>
      <c r="O62" s="436"/>
      <c r="P62" s="436"/>
      <c r="Q62" s="436"/>
      <c r="R62" s="436"/>
      <c r="S62" s="436"/>
      <c r="T62" s="436"/>
      <c r="U62" s="104"/>
      <c r="V62" s="39">
        <v>45023</v>
      </c>
      <c r="W62" s="8"/>
      <c r="X62" s="41"/>
      <c r="Y62" s="41"/>
      <c r="Z62" s="41"/>
      <c r="AA62" s="232" t="s">
        <v>411</v>
      </c>
      <c r="AB62" s="41"/>
      <c r="AC62" s="41"/>
      <c r="AD62" s="10"/>
      <c r="AE62" s="10"/>
      <c r="AF62" s="10"/>
      <c r="AG62" s="10"/>
      <c r="AH62" s="10"/>
      <c r="AI62" s="41"/>
      <c r="AJ62" s="106"/>
      <c r="AK62" s="106"/>
      <c r="AL62" s="295"/>
      <c r="AM62" s="295"/>
      <c r="AN62" s="295"/>
      <c r="AO62" s="295"/>
      <c r="AP62" s="106"/>
      <c r="AQ62" s="365"/>
      <c r="AR62" s="365"/>
      <c r="AS62" s="365"/>
      <c r="AT62" s="365"/>
      <c r="AU62" s="365"/>
      <c r="AV62" s="365"/>
      <c r="AW62" s="365"/>
      <c r="AX62" s="365"/>
      <c r="AY62" s="365"/>
      <c r="AZ62" s="365"/>
      <c r="BA62" s="365"/>
      <c r="BB62" s="365"/>
      <c r="BC62" s="365"/>
      <c r="BD62" s="365"/>
    </row>
    <row r="63" spans="1:56" ht="24.95" hidden="1" customHeight="1">
      <c r="A63" s="19"/>
      <c r="B63" s="237">
        <f t="shared" si="0"/>
        <v>57</v>
      </c>
      <c r="C63" s="261" t="s">
        <v>246</v>
      </c>
      <c r="D63" s="261" t="s">
        <v>224</v>
      </c>
      <c r="E63" s="262" t="s">
        <v>51</v>
      </c>
      <c r="F63" s="241" t="s">
        <v>225</v>
      </c>
      <c r="G63" s="242" t="s">
        <v>222</v>
      </c>
      <c r="H63" s="435" t="s">
        <v>363</v>
      </c>
      <c r="I63" s="436"/>
      <c r="J63" s="436"/>
      <c r="K63" s="436"/>
      <c r="L63" s="436"/>
      <c r="M63" s="436"/>
      <c r="N63" s="436"/>
      <c r="O63" s="436"/>
      <c r="P63" s="436"/>
      <c r="Q63" s="436"/>
      <c r="R63" s="436"/>
      <c r="S63" s="436"/>
      <c r="T63" s="436"/>
      <c r="U63" s="104"/>
      <c r="V63" s="39">
        <v>45042</v>
      </c>
      <c r="W63" s="8"/>
      <c r="X63" s="41"/>
      <c r="Y63" s="41"/>
      <c r="Z63" s="41"/>
      <c r="AA63" s="106"/>
      <c r="AB63" s="232" t="s">
        <v>409</v>
      </c>
      <c r="AC63" s="232" t="s">
        <v>411</v>
      </c>
      <c r="AD63" s="10"/>
      <c r="AE63" s="10"/>
      <c r="AF63" s="10"/>
      <c r="AG63" s="10"/>
      <c r="AH63" s="10"/>
      <c r="AI63" s="41"/>
      <c r="AJ63" s="106"/>
      <c r="AK63" s="106"/>
      <c r="AL63" s="295"/>
      <c r="AM63" s="295"/>
      <c r="AN63" s="295"/>
      <c r="AO63" s="295"/>
      <c r="AP63" s="106"/>
      <c r="AQ63" s="365"/>
      <c r="AR63" s="365"/>
      <c r="AS63" s="365"/>
      <c r="AT63" s="365"/>
      <c r="AU63" s="365"/>
      <c r="AV63" s="365"/>
      <c r="AW63" s="365"/>
      <c r="AX63" s="365"/>
      <c r="AY63" s="365"/>
      <c r="AZ63" s="365"/>
      <c r="BA63" s="365"/>
      <c r="BB63" s="365"/>
      <c r="BC63" s="365"/>
      <c r="BD63" s="365"/>
    </row>
    <row r="64" spans="1:56" ht="24.95" customHeight="1">
      <c r="A64" s="19"/>
      <c r="B64" s="131">
        <v>58</v>
      </c>
      <c r="C64" s="126" t="s">
        <v>236</v>
      </c>
      <c r="D64" s="130" t="s">
        <v>305</v>
      </c>
      <c r="E64" s="86" t="s">
        <v>51</v>
      </c>
      <c r="F64" s="127" t="s">
        <v>303</v>
      </c>
      <c r="G64" s="119" t="s">
        <v>173</v>
      </c>
      <c r="H64" s="128" t="s">
        <v>304</v>
      </c>
      <c r="I64" s="129"/>
      <c r="J64" s="129"/>
      <c r="K64" s="129"/>
      <c r="L64" s="129"/>
      <c r="M64" s="129"/>
      <c r="N64" s="129"/>
      <c r="O64" s="129"/>
      <c r="P64" s="129"/>
      <c r="Q64" s="129"/>
      <c r="R64" s="129"/>
      <c r="S64" s="129"/>
      <c r="T64" s="129"/>
      <c r="U64" s="104"/>
      <c r="V64" s="39" t="s">
        <v>221</v>
      </c>
      <c r="W64" s="8"/>
      <c r="X64" s="48"/>
      <c r="Y64" s="48"/>
      <c r="Z64" s="48"/>
      <c r="AA64" s="48"/>
      <c r="AB64" s="48"/>
      <c r="AC64" s="48"/>
      <c r="AD64" s="10"/>
      <c r="AE64" s="10"/>
      <c r="AF64" s="10"/>
      <c r="AG64" s="10"/>
      <c r="AH64" s="10"/>
      <c r="AI64" s="48"/>
      <c r="AJ64" s="106"/>
      <c r="AK64" s="106"/>
      <c r="AL64" s="295"/>
      <c r="AM64" s="295"/>
      <c r="AN64" s="295"/>
      <c r="AO64" s="295"/>
      <c r="AP64" s="106"/>
      <c r="AQ64" s="365"/>
      <c r="AR64" s="365"/>
      <c r="AS64" s="365"/>
      <c r="AT64" s="365"/>
      <c r="AU64" s="365"/>
      <c r="AV64" s="365"/>
      <c r="AW64" s="365"/>
      <c r="AX64" s="365"/>
      <c r="AY64" s="365"/>
      <c r="AZ64" s="365"/>
      <c r="BA64" s="365"/>
      <c r="BB64" s="365"/>
      <c r="BC64" s="365"/>
      <c r="BD64" s="365"/>
    </row>
    <row r="65" spans="1:56" ht="24.95" hidden="1" customHeight="1">
      <c r="A65" s="19"/>
      <c r="B65" s="237">
        <v>59</v>
      </c>
      <c r="C65" s="261" t="s">
        <v>236</v>
      </c>
      <c r="D65" s="239" t="s">
        <v>370</v>
      </c>
      <c r="E65" s="262" t="s">
        <v>51</v>
      </c>
      <c r="F65" s="241" t="s">
        <v>366</v>
      </c>
      <c r="G65" s="242" t="s">
        <v>173</v>
      </c>
      <c r="H65" s="435" t="s">
        <v>367</v>
      </c>
      <c r="I65" s="436"/>
      <c r="J65" s="436"/>
      <c r="K65" s="436"/>
      <c r="L65" s="436"/>
      <c r="M65" s="436"/>
      <c r="N65" s="436"/>
      <c r="O65" s="436"/>
      <c r="P65" s="436"/>
      <c r="Q65" s="436"/>
      <c r="R65" s="436"/>
      <c r="S65" s="436"/>
      <c r="T65" s="436"/>
      <c r="U65" s="104"/>
      <c r="V65" s="39">
        <v>45033</v>
      </c>
      <c r="W65" s="8"/>
      <c r="X65" s="75"/>
      <c r="Y65" s="75"/>
      <c r="Z65" s="75"/>
      <c r="AA65" s="232" t="s">
        <v>234</v>
      </c>
      <c r="AB65" s="232" t="s">
        <v>411</v>
      </c>
      <c r="AC65" s="75"/>
      <c r="AD65" s="10"/>
      <c r="AE65" s="10"/>
      <c r="AF65" s="10"/>
      <c r="AG65" s="10"/>
      <c r="AH65" s="10"/>
      <c r="AI65" s="75"/>
      <c r="AJ65" s="106"/>
      <c r="AK65" s="106"/>
      <c r="AL65" s="295"/>
      <c r="AM65" s="295"/>
      <c r="AN65" s="295"/>
      <c r="AO65" s="295"/>
      <c r="AP65" s="106"/>
      <c r="AQ65" s="365"/>
      <c r="AR65" s="365"/>
      <c r="AS65" s="365"/>
      <c r="AT65" s="365"/>
      <c r="AU65" s="365"/>
      <c r="AV65" s="365"/>
      <c r="AW65" s="365"/>
      <c r="AX65" s="365"/>
      <c r="AY65" s="365"/>
      <c r="AZ65" s="365"/>
      <c r="BA65" s="365"/>
      <c r="BB65" s="365"/>
      <c r="BC65" s="365"/>
      <c r="BD65" s="365"/>
    </row>
    <row r="66" spans="1:56" ht="24.95" hidden="1" customHeight="1">
      <c r="A66" s="19"/>
      <c r="B66" s="237">
        <f>+B65+1</f>
        <v>60</v>
      </c>
      <c r="C66" s="238" t="s">
        <v>236</v>
      </c>
      <c r="D66" s="239" t="s">
        <v>165</v>
      </c>
      <c r="E66" s="240" t="s">
        <v>51</v>
      </c>
      <c r="F66" s="241" t="s">
        <v>366</v>
      </c>
      <c r="G66" s="242" t="s">
        <v>173</v>
      </c>
      <c r="H66" s="435" t="s">
        <v>365</v>
      </c>
      <c r="I66" s="436"/>
      <c r="J66" s="436"/>
      <c r="K66" s="436"/>
      <c r="L66" s="436"/>
      <c r="M66" s="436"/>
      <c r="N66" s="436"/>
      <c r="O66" s="436"/>
      <c r="P66" s="436"/>
      <c r="Q66" s="436"/>
      <c r="R66" s="436"/>
      <c r="S66" s="436"/>
      <c r="T66" s="436"/>
      <c r="U66" s="104"/>
      <c r="V66" s="39">
        <v>45061</v>
      </c>
      <c r="W66" s="8"/>
      <c r="X66" s="75"/>
      <c r="Y66" s="75"/>
      <c r="Z66" s="75"/>
      <c r="AA66" s="75"/>
      <c r="AB66" s="75"/>
      <c r="AC66" s="75"/>
      <c r="AD66" s="10"/>
      <c r="AE66" s="232" t="s">
        <v>234</v>
      </c>
      <c r="AF66" s="232" t="s">
        <v>411</v>
      </c>
      <c r="AG66" s="10"/>
      <c r="AH66" s="10"/>
      <c r="AI66" s="75"/>
      <c r="AJ66" s="106"/>
      <c r="AK66" s="106"/>
      <c r="AL66" s="295"/>
      <c r="AM66" s="295"/>
      <c r="AN66" s="295"/>
      <c r="AO66" s="295"/>
      <c r="AP66" s="106"/>
      <c r="AQ66" s="365"/>
      <c r="AR66" s="365"/>
      <c r="AS66" s="365"/>
      <c r="AT66" s="365"/>
      <c r="AU66" s="365"/>
      <c r="AV66" s="365"/>
      <c r="AW66" s="365"/>
      <c r="AX66" s="365"/>
      <c r="AY66" s="365"/>
      <c r="AZ66" s="365"/>
      <c r="BA66" s="365"/>
      <c r="BB66" s="365"/>
      <c r="BC66" s="365"/>
      <c r="BD66" s="365"/>
    </row>
    <row r="67" spans="1:56" ht="24.95" hidden="1" customHeight="1">
      <c r="A67" s="19"/>
      <c r="B67" s="243">
        <f>+B66+1</f>
        <v>61</v>
      </c>
      <c r="C67" s="244" t="s">
        <v>236</v>
      </c>
      <c r="D67" s="239" t="s">
        <v>370</v>
      </c>
      <c r="E67" s="245" t="s">
        <v>51</v>
      </c>
      <c r="F67" s="241" t="s">
        <v>366</v>
      </c>
      <c r="G67" s="242" t="s">
        <v>173</v>
      </c>
      <c r="H67" s="435" t="s">
        <v>368</v>
      </c>
      <c r="I67" s="436"/>
      <c r="J67" s="436"/>
      <c r="K67" s="436"/>
      <c r="L67" s="436"/>
      <c r="M67" s="436"/>
      <c r="N67" s="436"/>
      <c r="O67" s="436"/>
      <c r="P67" s="436"/>
      <c r="Q67" s="436"/>
      <c r="R67" s="436"/>
      <c r="S67" s="436"/>
      <c r="T67" s="436"/>
      <c r="U67" s="104"/>
      <c r="V67" s="39">
        <v>45051</v>
      </c>
      <c r="W67" s="8"/>
      <c r="X67" s="75"/>
      <c r="Y67" s="75"/>
      <c r="Z67" s="75"/>
      <c r="AA67" s="75"/>
      <c r="AB67" s="75"/>
      <c r="AC67" s="75"/>
      <c r="AD67" s="236" t="s">
        <v>661</v>
      </c>
      <c r="AE67" s="10"/>
      <c r="AF67" s="10"/>
      <c r="AG67" s="10"/>
      <c r="AH67" s="10"/>
      <c r="AI67" s="75"/>
      <c r="AJ67" s="106"/>
      <c r="AK67" s="106"/>
      <c r="AL67" s="295"/>
      <c r="AM67" s="295"/>
      <c r="AN67" s="295"/>
      <c r="AO67" s="295"/>
      <c r="AP67" s="106"/>
      <c r="AQ67" s="365"/>
      <c r="AR67" s="365"/>
      <c r="AS67" s="365"/>
      <c r="AT67" s="365"/>
      <c r="AU67" s="365"/>
      <c r="AV67" s="365"/>
      <c r="AW67" s="365"/>
      <c r="AX67" s="365"/>
      <c r="AY67" s="365"/>
      <c r="AZ67" s="365"/>
      <c r="BA67" s="365"/>
      <c r="BB67" s="365"/>
      <c r="BC67" s="365"/>
      <c r="BD67" s="365"/>
    </row>
    <row r="68" spans="1:56" ht="24.95" hidden="1" customHeight="1">
      <c r="A68" s="19"/>
      <c r="B68" s="249">
        <v>62</v>
      </c>
      <c r="C68" s="247" t="s">
        <v>236</v>
      </c>
      <c r="D68" s="247" t="s">
        <v>665</v>
      </c>
      <c r="E68" s="246" t="s">
        <v>51</v>
      </c>
      <c r="F68" s="248" t="s">
        <v>371</v>
      </c>
      <c r="G68" s="242" t="s">
        <v>372</v>
      </c>
      <c r="H68" s="435" t="s">
        <v>373</v>
      </c>
      <c r="I68" s="436"/>
      <c r="J68" s="436"/>
      <c r="K68" s="436"/>
      <c r="L68" s="436"/>
      <c r="M68" s="436"/>
      <c r="N68" s="436"/>
      <c r="O68" s="436"/>
      <c r="P68" s="436"/>
      <c r="Q68" s="436"/>
      <c r="R68" s="436"/>
      <c r="S68" s="436"/>
      <c r="T68" s="436"/>
      <c r="U68" s="104"/>
      <c r="V68" s="39">
        <v>45058</v>
      </c>
      <c r="W68" s="8"/>
      <c r="X68" s="80"/>
      <c r="Y68" s="80"/>
      <c r="Z68" s="80"/>
      <c r="AA68" s="80"/>
      <c r="AB68" s="80"/>
      <c r="AC68" s="232" t="s">
        <v>441</v>
      </c>
      <c r="AD68" s="232" t="s">
        <v>448</v>
      </c>
      <c r="AE68" s="232" t="s">
        <v>449</v>
      </c>
      <c r="AF68" s="10"/>
      <c r="AG68" s="10"/>
      <c r="AH68" s="10"/>
      <c r="AI68" s="80"/>
      <c r="AJ68" s="106"/>
      <c r="AK68" s="106"/>
      <c r="AL68" s="295"/>
      <c r="AM68" s="295"/>
      <c r="AN68" s="295"/>
      <c r="AO68" s="295"/>
      <c r="AP68" s="106"/>
      <c r="AQ68" s="365"/>
      <c r="AR68" s="365"/>
      <c r="AS68" s="365"/>
      <c r="AT68" s="365"/>
      <c r="AU68" s="365"/>
      <c r="AV68" s="365"/>
      <c r="AW68" s="365"/>
      <c r="AX68" s="365"/>
      <c r="AY68" s="365"/>
      <c r="AZ68" s="365"/>
      <c r="BA68" s="365"/>
      <c r="BB68" s="365"/>
      <c r="BC68" s="365"/>
      <c r="BD68" s="365"/>
    </row>
    <row r="69" spans="1:56" ht="24.95" hidden="1" customHeight="1">
      <c r="A69" s="19"/>
      <c r="B69" s="246">
        <v>63</v>
      </c>
      <c r="C69" s="247" t="s">
        <v>236</v>
      </c>
      <c r="D69" s="247" t="s">
        <v>451</v>
      </c>
      <c r="E69" s="246" t="s">
        <v>51</v>
      </c>
      <c r="F69" s="248" t="s">
        <v>371</v>
      </c>
      <c r="G69" s="242" t="s">
        <v>375</v>
      </c>
      <c r="H69" s="435" t="s">
        <v>376</v>
      </c>
      <c r="I69" s="436"/>
      <c r="J69" s="436"/>
      <c r="K69" s="436"/>
      <c r="L69" s="436"/>
      <c r="M69" s="436"/>
      <c r="N69" s="436"/>
      <c r="O69" s="436"/>
      <c r="P69" s="436"/>
      <c r="Q69" s="436"/>
      <c r="R69" s="436"/>
      <c r="S69" s="436"/>
      <c r="T69" s="436"/>
      <c r="U69" s="104"/>
      <c r="V69" s="39">
        <v>45038</v>
      </c>
      <c r="W69" s="8"/>
      <c r="X69" s="80"/>
      <c r="Y69" s="80"/>
      <c r="Z69" s="80"/>
      <c r="AA69" s="80"/>
      <c r="AB69" s="232" t="s">
        <v>657</v>
      </c>
      <c r="AC69" s="232" t="s">
        <v>658</v>
      </c>
      <c r="AD69" s="232" t="s">
        <v>659</v>
      </c>
      <c r="AE69" s="10"/>
      <c r="AF69" s="10"/>
      <c r="AG69" s="10"/>
      <c r="AH69" s="10"/>
      <c r="AI69" s="80"/>
      <c r="AJ69" s="106"/>
      <c r="AK69" s="106"/>
      <c r="AL69" s="295"/>
      <c r="AM69" s="295"/>
      <c r="AN69" s="295"/>
      <c r="AO69" s="295"/>
      <c r="AP69" s="106"/>
      <c r="AQ69" s="365"/>
      <c r="AR69" s="365"/>
      <c r="AS69" s="365"/>
      <c r="AT69" s="365"/>
      <c r="AU69" s="365"/>
      <c r="AV69" s="365"/>
      <c r="AW69" s="365"/>
      <c r="AX69" s="365"/>
      <c r="AY69" s="365"/>
      <c r="AZ69" s="365"/>
      <c r="BA69" s="365"/>
      <c r="BB69" s="365"/>
      <c r="BC69" s="365"/>
      <c r="BD69" s="365"/>
    </row>
    <row r="70" spans="1:56" ht="24.95" customHeight="1">
      <c r="A70" s="19"/>
      <c r="B70" s="147">
        <v>64</v>
      </c>
      <c r="C70" s="148" t="s">
        <v>234</v>
      </c>
      <c r="D70" s="148" t="s">
        <v>450</v>
      </c>
      <c r="E70" s="149" t="s">
        <v>51</v>
      </c>
      <c r="F70" s="150" t="s">
        <v>371</v>
      </c>
      <c r="G70" s="34" t="s">
        <v>383</v>
      </c>
      <c r="H70" s="109" t="s">
        <v>452</v>
      </c>
      <c r="I70" s="110"/>
      <c r="J70" s="110"/>
      <c r="K70" s="110"/>
      <c r="L70" s="110"/>
      <c r="M70" s="110"/>
      <c r="N70" s="110"/>
      <c r="O70" s="110"/>
      <c r="P70" s="110"/>
      <c r="Q70" s="110"/>
      <c r="R70" s="110"/>
      <c r="S70" s="110"/>
      <c r="T70" s="110"/>
      <c r="U70" s="104"/>
      <c r="V70" s="15" t="s">
        <v>678</v>
      </c>
      <c r="W70" s="8"/>
      <c r="X70" s="80"/>
      <c r="Y70" s="80"/>
      <c r="Z70" s="80"/>
      <c r="AA70" s="80"/>
      <c r="AB70" s="236" t="s">
        <v>446</v>
      </c>
      <c r="AC70" s="236" t="s">
        <v>447</v>
      </c>
      <c r="AD70" s="232" t="s">
        <v>669</v>
      </c>
      <c r="AE70" s="10"/>
      <c r="AF70" s="10"/>
      <c r="AG70" s="358" t="s">
        <v>949</v>
      </c>
      <c r="AH70" s="10"/>
      <c r="AI70" s="358" t="s">
        <v>950</v>
      </c>
      <c r="AJ70" s="365"/>
      <c r="AK70" s="365"/>
      <c r="AL70" s="365"/>
      <c r="AM70" s="365"/>
      <c r="AN70" s="365"/>
      <c r="AO70" s="365"/>
      <c r="AP70" s="13" t="s">
        <v>38</v>
      </c>
      <c r="AQ70" s="13" t="s">
        <v>951</v>
      </c>
      <c r="AR70" s="13" t="s">
        <v>952</v>
      </c>
      <c r="AS70" s="13" t="s">
        <v>414</v>
      </c>
      <c r="AT70" s="13" t="s">
        <v>414</v>
      </c>
      <c r="AU70" s="365"/>
      <c r="AV70" s="365"/>
      <c r="AW70" s="365"/>
      <c r="AX70" s="365"/>
      <c r="AY70" s="365"/>
      <c r="AZ70" s="365"/>
      <c r="BA70" s="365"/>
      <c r="BB70" s="365"/>
      <c r="BC70" s="365"/>
      <c r="BD70" s="365"/>
    </row>
    <row r="71" spans="1:56" ht="24.95" hidden="1" customHeight="1">
      <c r="A71" s="19"/>
      <c r="B71" s="249">
        <v>65</v>
      </c>
      <c r="C71" s="239" t="s">
        <v>384</v>
      </c>
      <c r="D71" s="247" t="s">
        <v>165</v>
      </c>
      <c r="E71" s="246" t="s">
        <v>51</v>
      </c>
      <c r="F71" s="248" t="s">
        <v>371</v>
      </c>
      <c r="G71" s="242" t="s">
        <v>383</v>
      </c>
      <c r="H71" s="435" t="s">
        <v>385</v>
      </c>
      <c r="I71" s="436"/>
      <c r="J71" s="436"/>
      <c r="K71" s="436"/>
      <c r="L71" s="436"/>
      <c r="M71" s="436"/>
      <c r="N71" s="436"/>
      <c r="O71" s="436"/>
      <c r="P71" s="436"/>
      <c r="Q71" s="436"/>
      <c r="R71" s="436"/>
      <c r="S71" s="436"/>
      <c r="T71" s="436"/>
      <c r="U71" s="104"/>
      <c r="V71" s="39">
        <v>45076</v>
      </c>
      <c r="W71" s="8"/>
      <c r="X71" s="80"/>
      <c r="Y71" s="80"/>
      <c r="Z71" s="80"/>
      <c r="AA71" s="80"/>
      <c r="AB71" s="80"/>
      <c r="AC71" s="232" t="s">
        <v>444</v>
      </c>
      <c r="AD71" s="235" t="s">
        <v>443</v>
      </c>
      <c r="AE71" s="10"/>
      <c r="AF71" s="10"/>
      <c r="AG71" s="10"/>
      <c r="AH71" s="10"/>
      <c r="AI71" s="365"/>
      <c r="AJ71" s="365"/>
      <c r="AK71" s="365"/>
      <c r="AL71" s="365"/>
      <c r="AM71" s="365"/>
      <c r="AN71" s="365"/>
      <c r="AO71" s="232" t="s">
        <v>233</v>
      </c>
      <c r="AP71" s="146" t="s">
        <v>445</v>
      </c>
      <c r="AQ71" s="146" t="s">
        <v>445</v>
      </c>
      <c r="AR71" s="146" t="s">
        <v>445</v>
      </c>
      <c r="AS71" s="146" t="s">
        <v>445</v>
      </c>
      <c r="AT71" s="365"/>
      <c r="AU71" s="365"/>
      <c r="AV71" s="365"/>
      <c r="AW71" s="365"/>
      <c r="AX71" s="365"/>
      <c r="AY71" s="365"/>
      <c r="AZ71" s="365"/>
      <c r="BA71" s="365"/>
      <c r="BB71" s="365"/>
      <c r="BC71" s="365"/>
      <c r="BD71" s="365"/>
    </row>
    <row r="72" spans="1:56" ht="24.95" hidden="1" customHeight="1">
      <c r="A72" s="19"/>
      <c r="B72" s="427">
        <v>66</v>
      </c>
      <c r="C72" s="340" t="s">
        <v>389</v>
      </c>
      <c r="D72" s="340" t="s">
        <v>1040</v>
      </c>
      <c r="E72" s="428" t="s">
        <v>51</v>
      </c>
      <c r="F72" s="248" t="s">
        <v>390</v>
      </c>
      <c r="G72" s="399" t="s">
        <v>391</v>
      </c>
      <c r="H72" s="435" t="s">
        <v>401</v>
      </c>
      <c r="I72" s="436"/>
      <c r="J72" s="436"/>
      <c r="K72" s="436"/>
      <c r="L72" s="436"/>
      <c r="M72" s="436"/>
      <c r="N72" s="436"/>
      <c r="O72" s="436"/>
      <c r="P72" s="436"/>
      <c r="Q72" s="436"/>
      <c r="R72" s="436"/>
      <c r="S72" s="436"/>
      <c r="T72" s="436"/>
      <c r="U72" s="104"/>
      <c r="V72" s="39">
        <v>45065</v>
      </c>
      <c r="W72" s="8"/>
      <c r="X72" s="85"/>
      <c r="Y72" s="85"/>
      <c r="Z72" s="85"/>
      <c r="AA72" s="85"/>
      <c r="AB72" s="85"/>
      <c r="AC72" s="85"/>
      <c r="AD72" s="207"/>
      <c r="AE72" s="207"/>
      <c r="AF72" s="10" t="s">
        <v>795</v>
      </c>
      <c r="AG72" s="10"/>
      <c r="AH72" s="358" t="s">
        <v>233</v>
      </c>
      <c r="AI72" s="232" t="s">
        <v>233</v>
      </c>
      <c r="AJ72" s="106"/>
      <c r="AK72" s="106"/>
      <c r="AL72" s="295"/>
      <c r="AM72" s="295"/>
      <c r="AN72" s="295"/>
      <c r="AO72" s="295"/>
      <c r="AP72" s="106"/>
      <c r="AQ72" s="365"/>
      <c r="AR72" s="365"/>
      <c r="AS72" s="365"/>
      <c r="AT72" s="365"/>
      <c r="AU72" s="365"/>
      <c r="AV72" s="365"/>
      <c r="AW72" s="365"/>
      <c r="AX72" s="365"/>
      <c r="AY72" s="365"/>
      <c r="AZ72" s="365"/>
      <c r="BA72" s="365"/>
      <c r="BB72" s="365"/>
      <c r="BC72" s="365"/>
      <c r="BD72" s="365"/>
    </row>
    <row r="73" spans="1:56" ht="24.95" customHeight="1">
      <c r="A73" s="19"/>
      <c r="B73" s="440">
        <v>67</v>
      </c>
      <c r="C73" s="441" t="s">
        <v>389</v>
      </c>
      <c r="D73" s="442" t="s">
        <v>229</v>
      </c>
      <c r="E73" s="443" t="s">
        <v>51</v>
      </c>
      <c r="F73" s="444" t="s">
        <v>392</v>
      </c>
      <c r="G73" s="445" t="s">
        <v>391</v>
      </c>
      <c r="H73" s="446" t="s">
        <v>1064</v>
      </c>
      <c r="I73" s="447"/>
      <c r="J73" s="447"/>
      <c r="K73" s="447"/>
      <c r="L73" s="447"/>
      <c r="M73" s="447"/>
      <c r="N73" s="447"/>
      <c r="O73" s="447"/>
      <c r="P73" s="447"/>
      <c r="Q73" s="447"/>
      <c r="R73" s="447"/>
      <c r="S73" s="447"/>
      <c r="T73" s="447"/>
      <c r="U73" s="104"/>
      <c r="V73" s="15" t="s">
        <v>685</v>
      </c>
      <c r="W73" s="8"/>
      <c r="X73" s="85"/>
      <c r="Y73" s="85"/>
      <c r="Z73" s="85"/>
      <c r="AA73" s="85"/>
      <c r="AB73" s="85"/>
      <c r="AC73" s="232" t="s">
        <v>442</v>
      </c>
      <c r="AD73" s="232" t="s">
        <v>684</v>
      </c>
      <c r="AE73" s="425"/>
      <c r="AF73" s="425" t="s">
        <v>1065</v>
      </c>
      <c r="AG73" s="425"/>
      <c r="AH73" s="425"/>
      <c r="AI73" s="405"/>
      <c r="AJ73" s="405"/>
      <c r="AK73" s="405"/>
      <c r="AL73" s="295"/>
      <c r="AM73" s="295"/>
      <c r="AN73" s="295"/>
      <c r="AO73" s="295"/>
      <c r="AP73" s="106"/>
      <c r="AQ73" s="365"/>
      <c r="AR73" s="365"/>
      <c r="AS73" s="365"/>
      <c r="AT73" s="365"/>
      <c r="AU73" s="365"/>
      <c r="AV73" s="365"/>
      <c r="AW73" s="365"/>
      <c r="AX73" s="365"/>
      <c r="AY73" s="365"/>
      <c r="AZ73" s="365"/>
      <c r="BA73" s="365"/>
      <c r="BB73" s="365"/>
      <c r="BC73" s="365"/>
      <c r="BD73" s="365"/>
    </row>
    <row r="74" spans="1:56" ht="24.95" hidden="1" customHeight="1">
      <c r="A74" s="19"/>
      <c r="B74" s="249">
        <v>68</v>
      </c>
      <c r="C74" s="247" t="s">
        <v>389</v>
      </c>
      <c r="D74" s="247" t="s">
        <v>224</v>
      </c>
      <c r="E74" s="246" t="s">
        <v>51</v>
      </c>
      <c r="F74" s="248" t="s">
        <v>393</v>
      </c>
      <c r="G74" s="242" t="s">
        <v>391</v>
      </c>
      <c r="H74" s="437" t="s">
        <v>400</v>
      </c>
      <c r="I74" s="436"/>
      <c r="J74" s="436"/>
      <c r="K74" s="436"/>
      <c r="L74" s="436"/>
      <c r="M74" s="436"/>
      <c r="N74" s="436"/>
      <c r="O74" s="436"/>
      <c r="P74" s="436"/>
      <c r="Q74" s="436"/>
      <c r="R74" s="436"/>
      <c r="S74" s="436"/>
      <c r="T74" s="436"/>
      <c r="U74" s="104"/>
      <c r="V74" s="15">
        <v>45056</v>
      </c>
      <c r="W74" s="8"/>
      <c r="X74" s="85"/>
      <c r="Y74" s="85"/>
      <c r="Z74" s="85"/>
      <c r="AA74" s="85"/>
      <c r="AB74" s="85"/>
      <c r="AC74" s="232" t="s">
        <v>442</v>
      </c>
      <c r="AD74" s="232" t="s">
        <v>663</v>
      </c>
      <c r="AE74" s="232" t="s">
        <v>662</v>
      </c>
      <c r="AF74" s="10"/>
      <c r="AG74" s="10"/>
      <c r="AH74" s="10"/>
      <c r="AI74" s="85"/>
      <c r="AJ74" s="106"/>
      <c r="AK74" s="106"/>
      <c r="AL74" s="295"/>
      <c r="AM74" s="295"/>
      <c r="AN74" s="295"/>
      <c r="AO74" s="295"/>
      <c r="AP74" s="106"/>
      <c r="AQ74" s="365"/>
      <c r="AR74" s="365"/>
      <c r="AS74" s="365"/>
      <c r="AT74" s="365"/>
      <c r="AU74" s="365"/>
      <c r="AV74" s="365"/>
      <c r="AW74" s="365"/>
      <c r="AX74" s="365"/>
      <c r="AY74" s="365"/>
      <c r="AZ74" s="365"/>
      <c r="BA74" s="365"/>
      <c r="BB74" s="365"/>
      <c r="BC74" s="365"/>
      <c r="BD74" s="365"/>
    </row>
    <row r="75" spans="1:56" ht="24.95" customHeight="1">
      <c r="B75" s="321">
        <v>69</v>
      </c>
      <c r="C75" s="148" t="s">
        <v>38</v>
      </c>
      <c r="D75" s="148" t="s">
        <v>228</v>
      </c>
      <c r="E75" s="149" t="s">
        <v>474</v>
      </c>
      <c r="F75" s="150" t="s">
        <v>475</v>
      </c>
      <c r="G75" s="34" t="s">
        <v>176</v>
      </c>
      <c r="H75" s="109" t="s">
        <v>476</v>
      </c>
      <c r="I75" s="110"/>
      <c r="J75" s="110"/>
      <c r="K75" s="110"/>
      <c r="L75" s="110"/>
      <c r="M75" s="110"/>
      <c r="N75" s="110"/>
      <c r="O75" s="110"/>
      <c r="P75" s="110"/>
      <c r="Q75" s="110"/>
      <c r="R75" s="110"/>
      <c r="S75" s="110"/>
      <c r="T75" s="110"/>
      <c r="U75" s="104"/>
      <c r="V75" s="15">
        <v>45122</v>
      </c>
      <c r="W75" s="8"/>
      <c r="X75" s="111"/>
      <c r="Y75" s="111"/>
      <c r="Z75" s="111"/>
      <c r="AA75" s="111"/>
      <c r="AB75" s="111"/>
      <c r="AC75" s="235" t="s">
        <v>477</v>
      </c>
      <c r="AD75" s="235" t="s">
        <v>682</v>
      </c>
      <c r="AE75" s="207"/>
      <c r="AF75" s="284"/>
      <c r="AG75" s="232" t="s">
        <v>1036</v>
      </c>
      <c r="AH75" s="10"/>
      <c r="AI75" s="365"/>
      <c r="AJ75" s="365"/>
      <c r="AK75" s="365"/>
      <c r="AL75" s="365"/>
      <c r="AM75" s="13" t="s">
        <v>1037</v>
      </c>
      <c r="AN75" s="13" t="s">
        <v>683</v>
      </c>
      <c r="AO75" s="13" t="s">
        <v>683</v>
      </c>
      <c r="AP75" s="13" t="s">
        <v>445</v>
      </c>
      <c r="AQ75" s="13" t="s">
        <v>1038</v>
      </c>
      <c r="AR75" s="365"/>
      <c r="AS75" s="365"/>
      <c r="AT75" s="365"/>
      <c r="AU75" s="365"/>
      <c r="AV75" s="365"/>
      <c r="AW75" s="365"/>
      <c r="AX75" s="365"/>
      <c r="AY75" s="365"/>
      <c r="AZ75" s="365"/>
      <c r="BA75" s="365"/>
      <c r="BB75" s="365"/>
      <c r="BC75" s="365"/>
      <c r="BD75" s="365"/>
    </row>
    <row r="76" spans="1:56" ht="24.95" hidden="1" customHeight="1">
      <c r="B76" s="250">
        <v>70</v>
      </c>
      <c r="C76" s="251" t="s">
        <v>38</v>
      </c>
      <c r="D76" s="247" t="s">
        <v>665</v>
      </c>
      <c r="E76" s="246" t="s">
        <v>474</v>
      </c>
      <c r="F76" s="248" t="s">
        <v>475</v>
      </c>
      <c r="G76" s="242" t="s">
        <v>479</v>
      </c>
      <c r="H76" s="437" t="s">
        <v>481</v>
      </c>
      <c r="I76" s="436"/>
      <c r="J76" s="436"/>
      <c r="K76" s="436"/>
      <c r="L76" s="436"/>
      <c r="M76" s="436"/>
      <c r="N76" s="436"/>
      <c r="O76" s="436"/>
      <c r="P76" s="436"/>
      <c r="Q76" s="436"/>
      <c r="R76" s="436"/>
      <c r="S76" s="436"/>
      <c r="T76" s="436"/>
      <c r="U76" s="104"/>
      <c r="V76" s="15">
        <v>45062</v>
      </c>
      <c r="W76" s="8"/>
      <c r="X76" s="111"/>
      <c r="Y76" s="111"/>
      <c r="Z76" s="111"/>
      <c r="AA76" s="111"/>
      <c r="AB76" s="111"/>
      <c r="AC76" s="235" t="s">
        <v>666</v>
      </c>
      <c r="AD76" s="235" t="s">
        <v>234</v>
      </c>
      <c r="AE76" s="232" t="s">
        <v>667</v>
      </c>
      <c r="AF76" s="232" t="s">
        <v>668</v>
      </c>
      <c r="AG76" s="207"/>
      <c r="AH76" s="207"/>
      <c r="AI76" s="111"/>
      <c r="AJ76" s="111"/>
      <c r="AK76" s="111"/>
      <c r="AL76" s="295"/>
      <c r="AM76" s="295"/>
      <c r="AN76" s="295"/>
      <c r="AO76" s="295"/>
      <c r="AP76" s="111"/>
      <c r="AQ76" s="365"/>
      <c r="AR76" s="365"/>
      <c r="AS76" s="365"/>
      <c r="AT76" s="365"/>
      <c r="AU76" s="365"/>
      <c r="AV76" s="365"/>
      <c r="AW76" s="365"/>
      <c r="AX76" s="365"/>
      <c r="AY76" s="365"/>
      <c r="AZ76" s="365"/>
      <c r="BA76" s="365"/>
      <c r="BB76" s="365"/>
      <c r="BC76" s="365"/>
      <c r="BD76" s="365"/>
    </row>
    <row r="77" spans="1:56" ht="24.95" hidden="1" customHeight="1">
      <c r="B77" s="250">
        <v>71</v>
      </c>
      <c r="C77" s="251" t="s">
        <v>38</v>
      </c>
      <c r="D77" s="247" t="s">
        <v>112</v>
      </c>
      <c r="E77" s="246" t="s">
        <v>484</v>
      </c>
      <c r="F77" s="248" t="s">
        <v>485</v>
      </c>
      <c r="G77" s="286" t="s">
        <v>486</v>
      </c>
      <c r="H77" s="437" t="s">
        <v>1071</v>
      </c>
      <c r="I77" s="436"/>
      <c r="J77" s="436"/>
      <c r="K77" s="436"/>
      <c r="L77" s="436"/>
      <c r="M77" s="436"/>
      <c r="N77" s="436"/>
      <c r="O77" s="436"/>
      <c r="P77" s="436"/>
      <c r="Q77" s="436"/>
      <c r="R77" s="436"/>
      <c r="S77" s="436"/>
      <c r="T77" s="436"/>
      <c r="U77" s="104"/>
      <c r="V77" s="15" t="s">
        <v>1072</v>
      </c>
      <c r="W77" s="8"/>
      <c r="X77" s="178"/>
      <c r="Y77" s="178"/>
      <c r="Z77" s="178"/>
      <c r="AA77" s="178"/>
      <c r="AB77" s="178"/>
      <c r="AC77" s="207"/>
      <c r="AD77" s="235" t="s">
        <v>478</v>
      </c>
      <c r="AE77" s="232" t="s">
        <v>233</v>
      </c>
      <c r="AF77" s="296" t="s">
        <v>664</v>
      </c>
      <c r="AG77" s="284"/>
      <c r="AH77" s="232" t="s">
        <v>440</v>
      </c>
      <c r="AI77" s="178"/>
      <c r="AJ77" s="178"/>
      <c r="AK77" s="178"/>
      <c r="AL77" s="295"/>
      <c r="AM77" s="295"/>
      <c r="AN77" s="295"/>
      <c r="AO77" s="295"/>
      <c r="AP77" s="178"/>
      <c r="AQ77" s="365"/>
      <c r="AR77" s="365"/>
      <c r="AS77" s="365"/>
      <c r="AT77" s="365"/>
      <c r="AU77" s="365"/>
      <c r="AV77" s="365"/>
      <c r="AW77" s="365"/>
      <c r="AX77" s="365"/>
      <c r="AY77" s="365"/>
      <c r="AZ77" s="365"/>
      <c r="BA77" s="365"/>
      <c r="BB77" s="365"/>
      <c r="BC77" s="365"/>
      <c r="BD77" s="365"/>
    </row>
    <row r="78" spans="1:56" ht="24.95" hidden="1" customHeight="1">
      <c r="B78" s="250">
        <v>72</v>
      </c>
      <c r="C78" s="251" t="s">
        <v>522</v>
      </c>
      <c r="D78" s="247" t="s">
        <v>665</v>
      </c>
      <c r="E78" s="246" t="s">
        <v>523</v>
      </c>
      <c r="F78" s="248" t="s">
        <v>524</v>
      </c>
      <c r="G78" s="242" t="s">
        <v>525</v>
      </c>
      <c r="H78" s="437" t="s">
        <v>526</v>
      </c>
      <c r="I78" s="436"/>
      <c r="J78" s="436"/>
      <c r="K78" s="436"/>
      <c r="L78" s="436"/>
      <c r="M78" s="436"/>
      <c r="N78" s="436"/>
      <c r="O78" s="436"/>
      <c r="P78" s="436"/>
      <c r="Q78" s="436"/>
      <c r="R78" s="436"/>
      <c r="S78" s="436"/>
      <c r="T78" s="436"/>
      <c r="U78" s="104"/>
      <c r="V78" s="15">
        <v>45056</v>
      </c>
      <c r="W78" s="8"/>
      <c r="X78" s="179"/>
      <c r="Y78" s="179"/>
      <c r="Z78" s="179"/>
      <c r="AA78" s="179"/>
      <c r="AB78" s="179"/>
      <c r="AC78" s="207"/>
      <c r="AD78" s="232" t="s">
        <v>441</v>
      </c>
      <c r="AE78" s="232" t="s">
        <v>448</v>
      </c>
      <c r="AF78" s="232" t="s">
        <v>449</v>
      </c>
      <c r="AG78" s="207"/>
      <c r="AH78" s="207"/>
      <c r="AI78" s="179"/>
      <c r="AJ78" s="179"/>
      <c r="AK78" s="179"/>
      <c r="AL78" s="295"/>
      <c r="AM78" s="295"/>
      <c r="AN78" s="295"/>
      <c r="AO78" s="295"/>
      <c r="AP78" s="179"/>
      <c r="AQ78" s="365"/>
      <c r="AR78" s="365"/>
      <c r="AS78" s="365"/>
      <c r="AT78" s="365"/>
      <c r="AU78" s="365"/>
      <c r="AV78" s="365"/>
      <c r="AW78" s="365"/>
      <c r="AX78" s="365"/>
      <c r="AY78" s="365"/>
      <c r="AZ78" s="365"/>
      <c r="BA78" s="365"/>
      <c r="BB78" s="365"/>
      <c r="BC78" s="365"/>
      <c r="BD78" s="365"/>
    </row>
    <row r="79" spans="1:56" s="203" customFormat="1" ht="24.95" hidden="1" customHeight="1">
      <c r="B79" s="250">
        <v>73</v>
      </c>
      <c r="C79" s="251" t="s">
        <v>619</v>
      </c>
      <c r="D79" s="247" t="s">
        <v>1067</v>
      </c>
      <c r="E79" s="246" t="s">
        <v>620</v>
      </c>
      <c r="F79" s="248" t="s">
        <v>531</v>
      </c>
      <c r="G79" s="403" t="s">
        <v>621</v>
      </c>
      <c r="H79" s="437" t="s">
        <v>532</v>
      </c>
      <c r="I79" s="436"/>
      <c r="J79" s="436"/>
      <c r="K79" s="436"/>
      <c r="L79" s="436"/>
      <c r="M79" s="436"/>
      <c r="N79" s="436"/>
      <c r="O79" s="436"/>
      <c r="P79" s="436"/>
      <c r="Q79" s="436"/>
      <c r="R79" s="436"/>
      <c r="S79" s="436"/>
      <c r="T79" s="436"/>
      <c r="U79" s="104"/>
      <c r="V79" s="15">
        <v>45096</v>
      </c>
      <c r="W79" s="8"/>
      <c r="X79" s="207"/>
      <c r="Y79" s="207"/>
      <c r="Z79" s="207"/>
      <c r="AA79" s="207"/>
      <c r="AB79" s="207"/>
      <c r="AC79" s="207"/>
      <c r="AD79" s="232" t="s">
        <v>622</v>
      </c>
      <c r="AE79" s="404"/>
      <c r="AF79" s="404"/>
      <c r="AG79" s="232" t="s">
        <v>441</v>
      </c>
      <c r="AH79" s="232" t="s">
        <v>441</v>
      </c>
      <c r="AI79" s="207"/>
      <c r="AJ79" s="232" t="s">
        <v>448</v>
      </c>
      <c r="AK79" s="232" t="s">
        <v>411</v>
      </c>
      <c r="AL79" s="295"/>
      <c r="AM79" s="295"/>
      <c r="AN79" s="295"/>
      <c r="AO79" s="295"/>
      <c r="AP79" s="207"/>
      <c r="AQ79" s="365"/>
      <c r="AR79" s="365"/>
      <c r="AS79" s="365"/>
      <c r="AT79" s="365"/>
      <c r="AU79" s="365"/>
      <c r="AV79" s="365"/>
      <c r="AW79" s="365"/>
      <c r="AX79" s="365"/>
      <c r="AY79" s="365"/>
      <c r="AZ79" s="365"/>
      <c r="BA79" s="365"/>
      <c r="BB79" s="365"/>
      <c r="BC79" s="365"/>
      <c r="BD79" s="365"/>
    </row>
    <row r="80" spans="1:56" s="203" customFormat="1" ht="24.95" customHeight="1">
      <c r="B80" s="323">
        <v>74</v>
      </c>
      <c r="C80" s="322" t="s">
        <v>623</v>
      </c>
      <c r="D80" s="148" t="s">
        <v>228</v>
      </c>
      <c r="E80" s="149" t="s">
        <v>624</v>
      </c>
      <c r="F80" s="150" t="s">
        <v>625</v>
      </c>
      <c r="G80" s="34" t="s">
        <v>626</v>
      </c>
      <c r="H80" s="109" t="s">
        <v>694</v>
      </c>
      <c r="I80" s="110"/>
      <c r="J80" s="110"/>
      <c r="K80" s="110"/>
      <c r="L80" s="110"/>
      <c r="M80" s="110"/>
      <c r="N80" s="110"/>
      <c r="O80" s="110"/>
      <c r="P80" s="110"/>
      <c r="Q80" s="110"/>
      <c r="R80" s="110"/>
      <c r="S80" s="110"/>
      <c r="T80" s="110"/>
      <c r="U80" s="104"/>
      <c r="V80" s="15" t="s">
        <v>693</v>
      </c>
      <c r="W80" s="8"/>
      <c r="X80" s="207"/>
      <c r="Y80" s="207"/>
      <c r="Z80" s="207"/>
      <c r="AA80" s="207"/>
      <c r="AB80" s="207"/>
      <c r="AC80" s="207"/>
      <c r="AD80" s="232" t="s">
        <v>715</v>
      </c>
      <c r="AE80" s="232" t="s">
        <v>716</v>
      </c>
      <c r="AF80" s="232" t="s">
        <v>717</v>
      </c>
      <c r="AG80" s="284"/>
      <c r="AH80" s="232" t="s">
        <v>739</v>
      </c>
      <c r="AI80" s="232" t="s">
        <v>932</v>
      </c>
      <c r="AJ80" s="381" t="s">
        <v>1055</v>
      </c>
      <c r="AK80" s="372" t="s">
        <v>1056</v>
      </c>
      <c r="AL80" s="372" t="s">
        <v>1055</v>
      </c>
      <c r="AM80" s="372" t="s">
        <v>1056</v>
      </c>
      <c r="AN80" s="398"/>
      <c r="AO80" s="295"/>
      <c r="AP80" s="207"/>
      <c r="AQ80" s="365"/>
      <c r="AR80" s="365"/>
      <c r="AS80" s="365"/>
      <c r="AT80" s="365"/>
      <c r="AU80" s="365"/>
      <c r="AV80" s="365"/>
      <c r="AW80" s="365"/>
      <c r="AX80" s="365"/>
      <c r="AY80" s="365"/>
      <c r="AZ80" s="365"/>
      <c r="BA80" s="365"/>
      <c r="BB80" s="365"/>
      <c r="BC80" s="365"/>
      <c r="BD80" s="365"/>
    </row>
    <row r="81" spans="2:56" s="203" customFormat="1" ht="24.95" customHeight="1">
      <c r="B81" s="281">
        <v>75</v>
      </c>
      <c r="C81" s="177" t="s">
        <v>623</v>
      </c>
      <c r="D81" s="132" t="s">
        <v>616</v>
      </c>
      <c r="E81" s="133" t="s">
        <v>620</v>
      </c>
      <c r="F81" s="134" t="s">
        <v>627</v>
      </c>
      <c r="G81" s="119" t="s">
        <v>628</v>
      </c>
      <c r="H81" s="128" t="s">
        <v>629</v>
      </c>
      <c r="I81" s="129"/>
      <c r="J81" s="129"/>
      <c r="K81" s="129"/>
      <c r="L81" s="129"/>
      <c r="M81" s="129"/>
      <c r="N81" s="129"/>
      <c r="O81" s="129"/>
      <c r="P81" s="129"/>
      <c r="Q81" s="129"/>
      <c r="R81" s="129"/>
      <c r="S81" s="129"/>
      <c r="T81" s="129"/>
      <c r="U81" s="104"/>
      <c r="V81" s="15" t="s">
        <v>953</v>
      </c>
      <c r="W81" s="8"/>
      <c r="X81" s="207"/>
      <c r="Y81" s="207"/>
      <c r="Z81" s="207"/>
      <c r="AA81" s="207"/>
      <c r="AB81" s="207"/>
      <c r="AC81" s="207"/>
      <c r="AD81" s="207"/>
      <c r="AE81" s="207"/>
      <c r="AF81" s="207"/>
      <c r="AG81" s="207"/>
      <c r="AH81" s="207"/>
      <c r="AI81" s="207"/>
      <c r="AJ81" s="207"/>
      <c r="AK81" s="207"/>
      <c r="AL81" s="295"/>
      <c r="AM81" s="295"/>
      <c r="AN81" s="295"/>
      <c r="AO81" s="295"/>
      <c r="AP81" s="207"/>
      <c r="AQ81" s="365"/>
      <c r="AR81" s="365"/>
      <c r="AS81" s="365"/>
      <c r="AT81" s="365"/>
      <c r="AU81" s="365"/>
      <c r="AV81" s="365"/>
      <c r="AW81" s="365"/>
      <c r="AX81" s="365"/>
      <c r="AY81" s="365"/>
      <c r="AZ81" s="365"/>
      <c r="BA81" s="365"/>
      <c r="BB81" s="365"/>
      <c r="BC81" s="365"/>
      <c r="BD81" s="365"/>
    </row>
    <row r="82" spans="2:56" s="203" customFormat="1" ht="24.95" customHeight="1">
      <c r="B82" s="281">
        <v>76</v>
      </c>
      <c r="C82" s="177" t="s">
        <v>633</v>
      </c>
      <c r="D82" s="132" t="s">
        <v>616</v>
      </c>
      <c r="E82" s="133" t="s">
        <v>620</v>
      </c>
      <c r="F82" s="134" t="s">
        <v>630</v>
      </c>
      <c r="G82" s="119" t="s">
        <v>614</v>
      </c>
      <c r="H82" s="128" t="s">
        <v>631</v>
      </c>
      <c r="I82" s="129"/>
      <c r="J82" s="129"/>
      <c r="K82" s="129"/>
      <c r="L82" s="129"/>
      <c r="M82" s="129"/>
      <c r="N82" s="129"/>
      <c r="O82" s="129"/>
      <c r="P82" s="129"/>
      <c r="Q82" s="129"/>
      <c r="R82" s="129"/>
      <c r="S82" s="129"/>
      <c r="T82" s="129"/>
      <c r="U82" s="104"/>
      <c r="V82" s="15" t="s">
        <v>953</v>
      </c>
      <c r="W82" s="8"/>
      <c r="X82" s="207"/>
      <c r="Y82" s="207"/>
      <c r="Z82" s="207"/>
      <c r="AA82" s="207"/>
      <c r="AB82" s="207"/>
      <c r="AC82" s="207"/>
      <c r="AD82" s="207"/>
      <c r="AE82" s="207"/>
      <c r="AF82" s="207"/>
      <c r="AG82" s="207"/>
      <c r="AH82" s="207"/>
      <c r="AI82" s="207"/>
      <c r="AJ82" s="207"/>
      <c r="AK82" s="207"/>
      <c r="AL82" s="295"/>
      <c r="AM82" s="295"/>
      <c r="AN82" s="295"/>
      <c r="AO82" s="295"/>
      <c r="AP82" s="207"/>
      <c r="AQ82" s="365"/>
      <c r="AR82" s="365"/>
      <c r="AS82" s="365"/>
      <c r="AT82" s="365"/>
      <c r="AU82" s="365"/>
      <c r="AV82" s="365"/>
      <c r="AW82" s="365"/>
      <c r="AX82" s="365"/>
      <c r="AY82" s="365"/>
      <c r="AZ82" s="365"/>
      <c r="BA82" s="365"/>
      <c r="BB82" s="365"/>
      <c r="BC82" s="365"/>
      <c r="BD82" s="365"/>
    </row>
    <row r="83" spans="2:56" s="203" customFormat="1" ht="24.95" customHeight="1">
      <c r="B83" s="281">
        <v>77</v>
      </c>
      <c r="C83" s="177" t="s">
        <v>232</v>
      </c>
      <c r="D83" s="132" t="s">
        <v>616</v>
      </c>
      <c r="E83" s="133" t="s">
        <v>748</v>
      </c>
      <c r="F83" s="134" t="s">
        <v>634</v>
      </c>
      <c r="G83" s="119" t="s">
        <v>614</v>
      </c>
      <c r="H83" s="128" t="s">
        <v>636</v>
      </c>
      <c r="I83" s="129"/>
      <c r="J83" s="129"/>
      <c r="K83" s="129"/>
      <c r="L83" s="129"/>
      <c r="M83" s="129"/>
      <c r="N83" s="129"/>
      <c r="O83" s="129"/>
      <c r="P83" s="129"/>
      <c r="Q83" s="129"/>
      <c r="R83" s="129"/>
      <c r="S83" s="129"/>
      <c r="T83" s="129"/>
      <c r="U83" s="104"/>
      <c r="V83" s="15" t="s">
        <v>763</v>
      </c>
      <c r="W83" s="8"/>
      <c r="X83" s="207"/>
      <c r="Y83" s="207"/>
      <c r="Z83" s="207"/>
      <c r="AA83" s="207"/>
      <c r="AB83" s="207"/>
      <c r="AC83" s="207"/>
      <c r="AD83" s="207"/>
      <c r="AE83" s="207"/>
      <c r="AF83" s="207"/>
      <c r="AG83" s="207"/>
      <c r="AH83" s="207"/>
      <c r="AI83" s="365"/>
      <c r="AJ83" s="398"/>
      <c r="AK83" s="13" t="s">
        <v>1014</v>
      </c>
      <c r="AL83" s="13" t="s">
        <v>1015</v>
      </c>
      <c r="AM83" s="13" t="s">
        <v>38</v>
      </c>
      <c r="AN83" s="13" t="s">
        <v>38</v>
      </c>
      <c r="AO83" s="13" t="s">
        <v>38</v>
      </c>
      <c r="AP83" s="14" t="s">
        <v>411</v>
      </c>
      <c r="AQ83" s="365"/>
      <c r="AR83" s="365"/>
      <c r="AS83" s="365"/>
      <c r="AT83" s="365"/>
      <c r="AU83" s="365"/>
      <c r="AV83" s="365"/>
      <c r="AW83" s="365"/>
      <c r="AX83" s="365"/>
      <c r="AY83" s="365"/>
      <c r="AZ83" s="365"/>
      <c r="BA83" s="365"/>
      <c r="BB83" s="365"/>
      <c r="BC83" s="365"/>
      <c r="BD83" s="365"/>
    </row>
    <row r="84" spans="2:56" s="203" customFormat="1" ht="24.95" hidden="1" customHeight="1">
      <c r="B84" s="325">
        <v>78</v>
      </c>
      <c r="C84" s="326" t="s">
        <v>236</v>
      </c>
      <c r="D84" s="327" t="s">
        <v>224</v>
      </c>
      <c r="E84" s="328" t="s">
        <v>51</v>
      </c>
      <c r="F84" s="329" t="s">
        <v>635</v>
      </c>
      <c r="G84" s="330" t="s">
        <v>176</v>
      </c>
      <c r="H84" s="438" t="s">
        <v>714</v>
      </c>
      <c r="I84" s="439"/>
      <c r="J84" s="439"/>
      <c r="K84" s="439"/>
      <c r="L84" s="439"/>
      <c r="M84" s="439"/>
      <c r="N84" s="439"/>
      <c r="O84" s="439"/>
      <c r="P84" s="439"/>
      <c r="Q84" s="439"/>
      <c r="R84" s="439"/>
      <c r="S84" s="439"/>
      <c r="T84" s="439"/>
      <c r="U84" s="104"/>
      <c r="V84" s="15">
        <v>45094</v>
      </c>
      <c r="W84" s="8"/>
      <c r="X84" s="207"/>
      <c r="Y84" s="207"/>
      <c r="Z84" s="207"/>
      <c r="AA84" s="207"/>
      <c r="AB84" s="207"/>
      <c r="AC84" s="207"/>
      <c r="AD84" s="207"/>
      <c r="AE84" s="207"/>
      <c r="AF84" s="207"/>
      <c r="AG84" s="207"/>
      <c r="AH84" s="207"/>
      <c r="AI84" s="207"/>
      <c r="AJ84" s="232" t="s">
        <v>38</v>
      </c>
      <c r="AK84" s="232" t="s">
        <v>38</v>
      </c>
      <c r="AL84" s="295"/>
      <c r="AM84" s="295"/>
      <c r="AN84" s="295"/>
      <c r="AO84" s="295"/>
      <c r="AP84" s="207"/>
      <c r="AQ84" s="365"/>
      <c r="AR84" s="365"/>
      <c r="AS84" s="365"/>
      <c r="AT84" s="365"/>
      <c r="AU84" s="365"/>
      <c r="AV84" s="365"/>
      <c r="AW84" s="365"/>
      <c r="AX84" s="365"/>
      <c r="AY84" s="365"/>
      <c r="AZ84" s="365"/>
      <c r="BA84" s="365"/>
      <c r="BB84" s="365"/>
      <c r="BC84" s="365"/>
      <c r="BD84" s="365"/>
    </row>
    <row r="85" spans="2:56" s="203" customFormat="1" ht="24.95" hidden="1" customHeight="1">
      <c r="B85" s="315">
        <v>79</v>
      </c>
      <c r="C85" s="251" t="s">
        <v>686</v>
      </c>
      <c r="D85" s="247" t="s">
        <v>224</v>
      </c>
      <c r="E85" s="246" t="s">
        <v>51</v>
      </c>
      <c r="F85" s="248" t="s">
        <v>687</v>
      </c>
      <c r="G85" s="286" t="s">
        <v>688</v>
      </c>
      <c r="H85" s="437" t="s">
        <v>689</v>
      </c>
      <c r="I85" s="436"/>
      <c r="J85" s="436"/>
      <c r="K85" s="436"/>
      <c r="L85" s="436"/>
      <c r="M85" s="436"/>
      <c r="N85" s="436"/>
      <c r="O85" s="436"/>
      <c r="P85" s="436"/>
      <c r="Q85" s="436"/>
      <c r="R85" s="436"/>
      <c r="S85" s="436"/>
      <c r="T85" s="436"/>
      <c r="U85" s="104"/>
      <c r="V85" s="15">
        <v>45071</v>
      </c>
      <c r="W85" s="8"/>
      <c r="X85" s="207"/>
      <c r="Y85" s="207"/>
      <c r="Z85" s="207"/>
      <c r="AA85" s="207"/>
      <c r="AB85" s="207"/>
      <c r="AC85" s="207"/>
      <c r="AD85" s="207"/>
      <c r="AE85" s="207"/>
      <c r="AF85" s="232" t="s">
        <v>691</v>
      </c>
      <c r="AG85" s="232" t="s">
        <v>691</v>
      </c>
      <c r="AH85" s="232" t="s">
        <v>692</v>
      </c>
      <c r="AI85" s="207"/>
      <c r="AJ85" s="207"/>
      <c r="AK85" s="207"/>
      <c r="AL85" s="295"/>
      <c r="AM85" s="295"/>
      <c r="AN85" s="295"/>
      <c r="AO85" s="295"/>
      <c r="AP85" s="207"/>
      <c r="AQ85" s="365"/>
      <c r="AR85" s="365"/>
      <c r="AS85" s="365"/>
      <c r="AT85" s="365"/>
      <c r="AU85" s="365"/>
      <c r="AV85" s="365"/>
      <c r="AW85" s="365"/>
      <c r="AX85" s="365"/>
      <c r="AY85" s="365"/>
      <c r="AZ85" s="365"/>
      <c r="BA85" s="365"/>
      <c r="BB85" s="365"/>
      <c r="BC85" s="365"/>
      <c r="BD85" s="365"/>
    </row>
    <row r="86" spans="2:56" s="203" customFormat="1" ht="24.95" hidden="1" customHeight="1">
      <c r="B86" s="325">
        <v>80</v>
      </c>
      <c r="C86" s="326" t="s">
        <v>236</v>
      </c>
      <c r="D86" s="327" t="s">
        <v>224</v>
      </c>
      <c r="E86" s="328" t="s">
        <v>51</v>
      </c>
      <c r="F86" s="329" t="s">
        <v>687</v>
      </c>
      <c r="G86" s="330" t="s">
        <v>173</v>
      </c>
      <c r="H86" s="438" t="s">
        <v>754</v>
      </c>
      <c r="I86" s="439"/>
      <c r="J86" s="439"/>
      <c r="K86" s="439"/>
      <c r="L86" s="439"/>
      <c r="M86" s="439"/>
      <c r="N86" s="439"/>
      <c r="O86" s="439"/>
      <c r="P86" s="439"/>
      <c r="Q86" s="439"/>
      <c r="R86" s="439"/>
      <c r="S86" s="439"/>
      <c r="T86" s="439"/>
      <c r="U86" s="104"/>
      <c r="V86" s="15">
        <v>45076</v>
      </c>
      <c r="W86" s="8"/>
      <c r="X86" s="225"/>
      <c r="Y86" s="225"/>
      <c r="Z86" s="225"/>
      <c r="AA86" s="225"/>
      <c r="AB86" s="225"/>
      <c r="AC86" s="225"/>
      <c r="AD86" s="225"/>
      <c r="AE86" s="225"/>
      <c r="AF86" s="284"/>
      <c r="AG86" s="284"/>
      <c r="AH86" s="232" t="s">
        <v>691</v>
      </c>
      <c r="AI86" s="232" t="s">
        <v>691</v>
      </c>
      <c r="AJ86" s="232" t="s">
        <v>1073</v>
      </c>
      <c r="AK86" s="13" t="s">
        <v>1009</v>
      </c>
      <c r="AL86" s="13" t="s">
        <v>411</v>
      </c>
      <c r="AM86" s="295"/>
      <c r="AN86" s="295"/>
      <c r="AO86" s="295"/>
      <c r="AP86" s="225"/>
      <c r="AQ86" s="365"/>
      <c r="AR86" s="365"/>
      <c r="AS86" s="365"/>
      <c r="AT86" s="365"/>
      <c r="AU86" s="365"/>
      <c r="AV86" s="365"/>
      <c r="AW86" s="365"/>
      <c r="AX86" s="365"/>
      <c r="AY86" s="365"/>
      <c r="AZ86" s="365"/>
      <c r="BA86" s="365"/>
      <c r="BB86" s="365"/>
      <c r="BC86" s="365"/>
      <c r="BD86" s="365"/>
    </row>
    <row r="87" spans="2:56" s="203" customFormat="1" ht="24.95" hidden="1" customHeight="1">
      <c r="B87" s="424">
        <v>81</v>
      </c>
      <c r="C87" s="322" t="s">
        <v>236</v>
      </c>
      <c r="D87" s="148" t="s">
        <v>224</v>
      </c>
      <c r="E87" s="149" t="s">
        <v>51</v>
      </c>
      <c r="F87" s="150" t="s">
        <v>687</v>
      </c>
      <c r="G87" s="34" t="s">
        <v>173</v>
      </c>
      <c r="H87" s="109" t="s">
        <v>702</v>
      </c>
      <c r="I87" s="110"/>
      <c r="J87" s="110"/>
      <c r="K87" s="110"/>
      <c r="L87" s="110"/>
      <c r="M87" s="110"/>
      <c r="N87" s="110"/>
      <c r="O87" s="110"/>
      <c r="P87" s="110"/>
      <c r="Q87" s="110"/>
      <c r="R87" s="110"/>
      <c r="S87" s="110"/>
      <c r="T87" s="110"/>
      <c r="U87" s="104"/>
      <c r="V87" s="15" t="s">
        <v>755</v>
      </c>
      <c r="W87" s="8"/>
      <c r="X87" s="282"/>
      <c r="Y87" s="282"/>
      <c r="Z87" s="282"/>
      <c r="AA87" s="282"/>
      <c r="AB87" s="282"/>
      <c r="AC87" s="282"/>
      <c r="AD87" s="282"/>
      <c r="AE87" s="282"/>
      <c r="AF87" s="284"/>
      <c r="AG87" s="284"/>
      <c r="AH87" s="282"/>
      <c r="AI87" s="398"/>
      <c r="AJ87" s="232" t="s">
        <v>632</v>
      </c>
      <c r="AK87" s="13" t="s">
        <v>38</v>
      </c>
      <c r="AL87" s="13" t="s">
        <v>38</v>
      </c>
      <c r="AM87" s="14" t="s">
        <v>411</v>
      </c>
      <c r="AN87" s="365"/>
      <c r="AO87" s="365"/>
      <c r="AP87" s="282"/>
      <c r="AQ87" s="365"/>
      <c r="AR87" s="365"/>
      <c r="AS87" s="365"/>
      <c r="AT87" s="365"/>
      <c r="AU87" s="365"/>
      <c r="AV87" s="365"/>
      <c r="AW87" s="365"/>
      <c r="AX87" s="365"/>
      <c r="AY87" s="365"/>
      <c r="AZ87" s="365"/>
      <c r="BA87" s="365"/>
      <c r="BB87" s="365"/>
      <c r="BC87" s="365"/>
      <c r="BD87" s="365"/>
    </row>
    <row r="88" spans="2:56" s="203" customFormat="1" ht="24.95" hidden="1" customHeight="1">
      <c r="B88" s="325">
        <v>82</v>
      </c>
      <c r="C88" s="326" t="s">
        <v>236</v>
      </c>
      <c r="D88" s="327" t="s">
        <v>224</v>
      </c>
      <c r="E88" s="328" t="s">
        <v>51</v>
      </c>
      <c r="F88" s="329" t="s">
        <v>193</v>
      </c>
      <c r="G88" s="330" t="s">
        <v>176</v>
      </c>
      <c r="H88" s="438" t="s">
        <v>713</v>
      </c>
      <c r="I88" s="439"/>
      <c r="J88" s="439"/>
      <c r="K88" s="439"/>
      <c r="L88" s="439"/>
      <c r="M88" s="439"/>
      <c r="N88" s="439"/>
      <c r="O88" s="439"/>
      <c r="P88" s="439"/>
      <c r="Q88" s="439"/>
      <c r="R88" s="439"/>
      <c r="S88" s="439"/>
      <c r="T88" s="439"/>
      <c r="U88" s="104"/>
      <c r="V88" s="15">
        <v>45094</v>
      </c>
      <c r="W88" s="8"/>
      <c r="X88" s="284"/>
      <c r="Y88" s="284"/>
      <c r="Z88" s="284"/>
      <c r="AA88" s="284"/>
      <c r="AB88" s="284"/>
      <c r="AC88" s="284"/>
      <c r="AD88" s="284"/>
      <c r="AE88" s="284"/>
      <c r="AF88" s="284"/>
      <c r="AG88" s="284"/>
      <c r="AH88" s="284"/>
      <c r="AI88" s="284"/>
      <c r="AJ88" s="232" t="s">
        <v>38</v>
      </c>
      <c r="AK88" s="13" t="s">
        <v>38</v>
      </c>
      <c r="AL88" s="295"/>
      <c r="AM88" s="295"/>
      <c r="AN88" s="295"/>
      <c r="AO88" s="295"/>
      <c r="AP88" s="284"/>
      <c r="AQ88" s="365"/>
      <c r="AR88" s="365"/>
      <c r="AS88" s="365"/>
      <c r="AT88" s="365"/>
      <c r="AU88" s="365"/>
      <c r="AV88" s="365"/>
      <c r="AW88" s="365"/>
      <c r="AX88" s="365"/>
      <c r="AY88" s="365"/>
      <c r="AZ88" s="365"/>
      <c r="BA88" s="365"/>
      <c r="BB88" s="365"/>
      <c r="BC88" s="365"/>
      <c r="BD88" s="365"/>
    </row>
    <row r="89" spans="2:56" s="203" customFormat="1" ht="24.95" customHeight="1">
      <c r="B89" s="281">
        <v>83</v>
      </c>
      <c r="C89" s="177" t="s">
        <v>236</v>
      </c>
      <c r="D89" s="132" t="s">
        <v>115</v>
      </c>
      <c r="E89" s="133" t="s">
        <v>51</v>
      </c>
      <c r="F89" s="134" t="s">
        <v>751</v>
      </c>
      <c r="G89" s="119" t="s">
        <v>176</v>
      </c>
      <c r="H89" s="128" t="s">
        <v>746</v>
      </c>
      <c r="I89" s="129"/>
      <c r="J89" s="129"/>
      <c r="K89" s="129"/>
      <c r="L89" s="129"/>
      <c r="M89" s="129"/>
      <c r="N89" s="129"/>
      <c r="O89" s="129"/>
      <c r="P89" s="129"/>
      <c r="Q89" s="129"/>
      <c r="R89" s="129"/>
      <c r="S89" s="129"/>
      <c r="T89" s="129"/>
      <c r="U89" s="104"/>
      <c r="V89" s="15" t="s">
        <v>294</v>
      </c>
      <c r="W89" s="8"/>
      <c r="X89" s="295"/>
      <c r="Y89" s="295"/>
      <c r="Z89" s="295"/>
      <c r="AA89" s="295"/>
      <c r="AB89" s="295"/>
      <c r="AC89" s="295"/>
      <c r="AD89" s="295"/>
      <c r="AE89" s="295"/>
      <c r="AF89" s="295"/>
      <c r="AH89" s="295"/>
      <c r="AI89" s="295"/>
      <c r="AJ89" s="398"/>
      <c r="AK89" s="13" t="s">
        <v>632</v>
      </c>
      <c r="AL89" s="13" t="s">
        <v>954</v>
      </c>
      <c r="AM89" s="13" t="s">
        <v>1066</v>
      </c>
      <c r="AN89" s="13" t="s">
        <v>41</v>
      </c>
      <c r="AO89" s="13" t="s">
        <v>41</v>
      </c>
      <c r="AP89" s="13" t="s">
        <v>955</v>
      </c>
      <c r="AQ89" s="365"/>
      <c r="AR89" s="365"/>
      <c r="AS89" s="365"/>
      <c r="AT89" s="365"/>
      <c r="AU89" s="365"/>
      <c r="AV89" s="365"/>
      <c r="AW89" s="365"/>
      <c r="AX89" s="365"/>
      <c r="AY89" s="365"/>
      <c r="AZ89" s="365"/>
      <c r="BA89" s="365"/>
      <c r="BB89" s="365"/>
      <c r="BC89" s="365"/>
      <c r="BD89" s="365"/>
    </row>
    <row r="90" spans="2:56" s="203" customFormat="1" ht="24.95" customHeight="1">
      <c r="B90" s="323">
        <v>84</v>
      </c>
      <c r="C90" s="322" t="s">
        <v>236</v>
      </c>
      <c r="D90" s="148" t="s">
        <v>228</v>
      </c>
      <c r="E90" s="149" t="s">
        <v>749</v>
      </c>
      <c r="F90" s="150" t="s">
        <v>750</v>
      </c>
      <c r="G90" s="34" t="s">
        <v>176</v>
      </c>
      <c r="H90" s="109" t="s">
        <v>960</v>
      </c>
      <c r="I90" s="110"/>
      <c r="J90" s="110"/>
      <c r="K90" s="110"/>
      <c r="L90" s="110"/>
      <c r="M90" s="110"/>
      <c r="N90" s="110"/>
      <c r="O90" s="110"/>
      <c r="P90" s="110"/>
      <c r="Q90" s="110"/>
      <c r="R90" s="110"/>
      <c r="S90" s="110"/>
      <c r="T90" s="110"/>
      <c r="U90" s="104"/>
      <c r="V90" s="15" t="s">
        <v>962</v>
      </c>
      <c r="W90" s="8"/>
      <c r="X90" s="295"/>
      <c r="Y90" s="295"/>
      <c r="Z90" s="295"/>
      <c r="AA90" s="295"/>
      <c r="AB90" s="295"/>
      <c r="AC90" s="295"/>
      <c r="AD90" s="295"/>
      <c r="AE90" s="295"/>
      <c r="AF90" s="295"/>
      <c r="AG90" s="232" t="s">
        <v>752</v>
      </c>
      <c r="AH90" s="232" t="s">
        <v>753</v>
      </c>
      <c r="AI90" s="232" t="s">
        <v>753</v>
      </c>
      <c r="AJ90" s="232" t="s">
        <v>753</v>
      </c>
      <c r="AK90" s="13" t="s">
        <v>961</v>
      </c>
      <c r="AL90" s="295"/>
      <c r="AM90" s="295"/>
      <c r="AN90" s="295"/>
      <c r="AO90" s="295"/>
      <c r="AP90" s="295"/>
      <c r="AQ90" s="365"/>
      <c r="AR90" s="365"/>
      <c r="AS90" s="365"/>
      <c r="AT90" s="365"/>
      <c r="AU90" s="365"/>
      <c r="AV90" s="365"/>
      <c r="AW90" s="365"/>
      <c r="AX90" s="365"/>
      <c r="AY90" s="365"/>
      <c r="AZ90" s="365"/>
      <c r="BA90" s="365"/>
      <c r="BB90" s="365"/>
      <c r="BC90" s="365"/>
      <c r="BD90" s="365"/>
    </row>
    <row r="91" spans="2:56" s="203" customFormat="1" ht="24.95" hidden="1" customHeight="1">
      <c r="B91" s="379">
        <v>85</v>
      </c>
      <c r="C91" s="251" t="s">
        <v>236</v>
      </c>
      <c r="D91" s="247" t="s">
        <v>224</v>
      </c>
      <c r="E91" s="246" t="s">
        <v>44</v>
      </c>
      <c r="F91" s="248" t="s">
        <v>828</v>
      </c>
      <c r="G91" s="366" t="s">
        <v>829</v>
      </c>
      <c r="H91" s="437" t="s">
        <v>830</v>
      </c>
      <c r="I91" s="436"/>
      <c r="J91" s="436"/>
      <c r="K91" s="436"/>
      <c r="L91" s="436"/>
      <c r="M91" s="436"/>
      <c r="N91" s="436"/>
      <c r="O91" s="436"/>
      <c r="P91" s="436"/>
      <c r="Q91" s="436"/>
      <c r="R91" s="436"/>
      <c r="S91" s="436"/>
      <c r="T91" s="436"/>
      <c r="U91" s="104"/>
      <c r="V91" s="15">
        <v>45076</v>
      </c>
      <c r="W91" s="8"/>
      <c r="X91" s="333"/>
      <c r="Y91" s="333"/>
      <c r="Z91" s="333"/>
      <c r="AA91" s="333"/>
      <c r="AB91" s="333"/>
      <c r="AC91" s="333"/>
      <c r="AD91" s="333"/>
      <c r="AE91" s="333"/>
      <c r="AF91" s="333"/>
      <c r="AG91" s="232" t="s">
        <v>416</v>
      </c>
      <c r="AH91" s="232" t="s">
        <v>753</v>
      </c>
      <c r="AI91" s="333"/>
      <c r="AJ91" s="333"/>
      <c r="AK91" s="333"/>
      <c r="AL91" s="333"/>
      <c r="AM91" s="333"/>
      <c r="AN91" s="333"/>
      <c r="AO91" s="333"/>
      <c r="AP91" s="333"/>
      <c r="AQ91" s="365"/>
      <c r="AR91" s="365"/>
      <c r="AS91" s="365"/>
      <c r="AT91" s="365"/>
      <c r="AU91" s="365"/>
      <c r="AV91" s="365"/>
      <c r="AW91" s="365"/>
      <c r="AX91" s="365"/>
      <c r="AY91" s="365"/>
      <c r="AZ91" s="365"/>
      <c r="BA91" s="365"/>
      <c r="BB91" s="365"/>
      <c r="BC91" s="365"/>
      <c r="BD91" s="365"/>
    </row>
    <row r="92" spans="2:56" s="203" customFormat="1" ht="24.95" customHeight="1">
      <c r="B92" s="400">
        <v>86</v>
      </c>
      <c r="C92" s="373" t="s">
        <v>927</v>
      </c>
      <c r="D92" s="380" t="s">
        <v>223</v>
      </c>
      <c r="E92" s="374" t="s">
        <v>928</v>
      </c>
      <c r="F92" s="375" t="s">
        <v>929</v>
      </c>
      <c r="G92" s="376" t="s">
        <v>173</v>
      </c>
      <c r="H92" s="377" t="s">
        <v>930</v>
      </c>
      <c r="I92" s="378"/>
      <c r="J92" s="378"/>
      <c r="K92" s="378"/>
      <c r="L92" s="378"/>
      <c r="M92" s="378"/>
      <c r="N92" s="378"/>
      <c r="O92" s="378"/>
      <c r="P92" s="378"/>
      <c r="Q92" s="378"/>
      <c r="R92" s="378"/>
      <c r="S92" s="378"/>
      <c r="T92" s="378"/>
      <c r="U92" s="104"/>
      <c r="V92" s="15" t="s">
        <v>931</v>
      </c>
      <c r="W92" s="8"/>
      <c r="X92" s="365"/>
      <c r="Y92" s="365"/>
      <c r="Z92" s="365"/>
      <c r="AA92" s="365"/>
      <c r="AB92" s="365"/>
      <c r="AC92" s="365"/>
      <c r="AD92" s="365"/>
      <c r="AE92" s="365"/>
      <c r="AF92" s="365"/>
      <c r="AG92" s="365"/>
      <c r="AH92" s="365"/>
      <c r="AI92" s="365"/>
      <c r="AJ92" s="365"/>
      <c r="AK92" s="365"/>
      <c r="AL92" s="365"/>
      <c r="AM92" s="365"/>
      <c r="AN92" s="365"/>
      <c r="AO92" s="365"/>
      <c r="AP92" s="365"/>
      <c r="AQ92" s="398"/>
      <c r="AR92" s="13" t="s">
        <v>1010</v>
      </c>
      <c r="AS92" s="13" t="s">
        <v>683</v>
      </c>
      <c r="AT92" s="13" t="s">
        <v>1011</v>
      </c>
      <c r="AU92" s="13" t="s">
        <v>683</v>
      </c>
      <c r="AV92" s="398"/>
      <c r="AW92" s="365"/>
      <c r="AX92" s="365"/>
      <c r="AY92" s="365"/>
      <c r="AZ92" s="365"/>
      <c r="BA92" s="365"/>
      <c r="BB92" s="365"/>
      <c r="BC92" s="365"/>
      <c r="BD92" s="365"/>
    </row>
    <row r="93" spans="2:56" s="203" customFormat="1" ht="24.95" customHeight="1">
      <c r="B93" s="323">
        <v>87</v>
      </c>
      <c r="C93" s="322" t="s">
        <v>927</v>
      </c>
      <c r="D93" s="148" t="s">
        <v>228</v>
      </c>
      <c r="E93" s="149" t="s">
        <v>87</v>
      </c>
      <c r="F93" s="150" t="s">
        <v>967</v>
      </c>
      <c r="G93" s="34" t="s">
        <v>968</v>
      </c>
      <c r="H93" s="109" t="s">
        <v>969</v>
      </c>
      <c r="I93" s="110"/>
      <c r="J93" s="110"/>
      <c r="K93" s="110"/>
      <c r="L93" s="110"/>
      <c r="M93" s="110"/>
      <c r="N93" s="110"/>
      <c r="O93" s="110"/>
      <c r="P93" s="110"/>
      <c r="Q93" s="110"/>
      <c r="R93" s="110"/>
      <c r="S93" s="110"/>
      <c r="T93" s="110"/>
      <c r="U93" s="104"/>
      <c r="V93" s="15" t="s">
        <v>996</v>
      </c>
      <c r="W93" s="8"/>
      <c r="X93" s="388"/>
      <c r="Y93" s="388"/>
      <c r="Z93" s="388"/>
      <c r="AA93" s="388"/>
      <c r="AB93" s="388"/>
      <c r="AC93" s="388"/>
      <c r="AD93" s="388"/>
      <c r="AE93" s="388"/>
      <c r="AF93" s="388"/>
      <c r="AG93" s="388"/>
      <c r="AH93" s="388"/>
      <c r="AI93" s="388"/>
      <c r="AJ93" s="388"/>
      <c r="AK93" s="388"/>
      <c r="AL93" s="388"/>
      <c r="AM93" s="388"/>
      <c r="AN93" s="388"/>
      <c r="AO93" s="388"/>
      <c r="AP93" s="388"/>
      <c r="AQ93" s="398"/>
      <c r="AR93" s="398"/>
      <c r="AS93" s="398"/>
      <c r="AT93" s="398"/>
      <c r="AU93" s="398"/>
      <c r="AV93" s="398"/>
      <c r="AW93" s="388"/>
      <c r="AX93" s="388"/>
      <c r="AY93" s="388"/>
      <c r="AZ93" s="388"/>
      <c r="BA93" s="388"/>
      <c r="BB93" s="388"/>
      <c r="BC93" s="388"/>
      <c r="BD93" s="388"/>
    </row>
    <row r="94" spans="2:56" s="203" customFormat="1" ht="24.95" customHeight="1">
      <c r="B94" s="429">
        <v>88</v>
      </c>
      <c r="C94" s="430" t="s">
        <v>38</v>
      </c>
      <c r="D94" s="148" t="s">
        <v>228</v>
      </c>
      <c r="E94" s="149" t="s">
        <v>51</v>
      </c>
      <c r="F94" s="150" t="s">
        <v>193</v>
      </c>
      <c r="G94" s="34" t="s">
        <v>970</v>
      </c>
      <c r="H94" s="109" t="s">
        <v>971</v>
      </c>
      <c r="I94" s="110"/>
      <c r="J94" s="110"/>
      <c r="K94" s="110"/>
      <c r="L94" s="110"/>
      <c r="M94" s="110"/>
      <c r="N94" s="110"/>
      <c r="O94" s="110"/>
      <c r="P94" s="110"/>
      <c r="Q94" s="110"/>
      <c r="R94" s="110"/>
      <c r="S94" s="110"/>
      <c r="T94" s="110"/>
      <c r="U94" s="104"/>
      <c r="V94" s="15" t="s">
        <v>994</v>
      </c>
      <c r="W94" s="8"/>
      <c r="X94" s="398"/>
      <c r="Y94" s="398"/>
      <c r="Z94" s="398"/>
      <c r="AA94" s="398"/>
      <c r="AB94" s="398"/>
      <c r="AC94" s="398"/>
      <c r="AD94" s="398"/>
      <c r="AE94" s="398"/>
      <c r="AF94" s="398"/>
      <c r="AG94" s="398"/>
      <c r="AH94" s="398"/>
      <c r="AI94" s="398"/>
      <c r="AJ94" s="398"/>
      <c r="AK94" s="13" t="s">
        <v>38</v>
      </c>
      <c r="AL94" s="13" t="s">
        <v>995</v>
      </c>
      <c r="AM94" s="398"/>
      <c r="AN94" s="398"/>
      <c r="AO94" s="398"/>
      <c r="AP94" s="398"/>
      <c r="AQ94" s="398"/>
      <c r="AR94" s="398"/>
      <c r="AS94" s="398"/>
      <c r="AT94" s="398"/>
      <c r="AU94" s="398"/>
      <c r="AV94" s="398"/>
      <c r="AW94" s="398"/>
      <c r="AX94" s="398"/>
      <c r="AY94" s="398"/>
      <c r="AZ94" s="398"/>
      <c r="BA94" s="398"/>
      <c r="BB94" s="398"/>
      <c r="BC94" s="398"/>
      <c r="BD94" s="398"/>
    </row>
    <row r="95" spans="2:56" s="203" customFormat="1" ht="24.95" customHeight="1">
      <c r="B95" s="432">
        <v>89</v>
      </c>
      <c r="C95" s="433" t="s">
        <v>236</v>
      </c>
      <c r="D95" s="434" t="s">
        <v>228</v>
      </c>
      <c r="E95" s="149" t="s">
        <v>31</v>
      </c>
      <c r="F95" s="150" t="s">
        <v>992</v>
      </c>
      <c r="G95" s="34" t="s">
        <v>173</v>
      </c>
      <c r="H95" s="109" t="s">
        <v>993</v>
      </c>
      <c r="I95" s="110"/>
      <c r="J95" s="110"/>
      <c r="K95" s="110"/>
      <c r="L95" s="110"/>
      <c r="M95" s="110"/>
      <c r="N95" s="110"/>
      <c r="O95" s="110"/>
      <c r="P95" s="110"/>
      <c r="Q95" s="110"/>
      <c r="R95" s="110"/>
      <c r="S95" s="110"/>
      <c r="T95" s="110"/>
      <c r="U95" s="104"/>
      <c r="V95" s="15" t="s">
        <v>994</v>
      </c>
      <c r="W95" s="8"/>
      <c r="X95" s="398"/>
      <c r="Y95" s="398"/>
      <c r="Z95" s="398"/>
      <c r="AA95" s="398"/>
      <c r="AB95" s="398"/>
      <c r="AC95" s="398"/>
      <c r="AD95" s="398"/>
      <c r="AE95" s="398"/>
      <c r="AF95" s="398"/>
      <c r="AG95" s="398"/>
      <c r="AH95" s="398"/>
      <c r="AI95" s="398"/>
      <c r="AJ95" s="398"/>
      <c r="AK95" s="13" t="s">
        <v>1008</v>
      </c>
      <c r="AL95" s="13" t="s">
        <v>1009</v>
      </c>
      <c r="AM95" s="398"/>
      <c r="AN95" s="398"/>
      <c r="AO95" s="398"/>
      <c r="AP95" s="398"/>
      <c r="AQ95" s="398"/>
      <c r="AR95" s="398"/>
      <c r="AS95" s="398"/>
      <c r="AT95" s="398"/>
      <c r="AU95" s="398"/>
      <c r="AV95" s="398"/>
      <c r="AW95" s="398"/>
      <c r="AX95" s="398"/>
      <c r="AY95" s="398"/>
      <c r="AZ95" s="398"/>
      <c r="BA95" s="398"/>
      <c r="BB95" s="398"/>
      <c r="BC95" s="398"/>
      <c r="BD95" s="398"/>
    </row>
  </sheetData>
  <autoFilter ref="A5:BD95" xr:uid="{00000000-0009-0000-0000-000003000000}">
    <filterColumn colId="3">
      <filters>
        <filter val="△"/>
        <filter val="X"/>
      </filters>
    </filterColumn>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0">
    <mergeCell ref="W4:BD4"/>
    <mergeCell ref="B4:B5"/>
    <mergeCell ref="E4:E5"/>
    <mergeCell ref="F4:F5"/>
    <mergeCell ref="V4:V5"/>
    <mergeCell ref="U4:U5"/>
    <mergeCell ref="G4:G5"/>
    <mergeCell ref="C4:C5"/>
    <mergeCell ref="D4:D5"/>
    <mergeCell ref="H4:T5"/>
  </mergeCells>
  <phoneticPr fontId="1" type="noConversion"/>
  <hyperlinks>
    <hyperlink ref="B16" location="실적등록편의!A1" display="실적등록편의!A1" xr:uid="{00000000-0004-0000-0300-000000000000}"/>
    <hyperlink ref="B49" location="'발주 등록'!A1" display="'발주 등록'!A1" xr:uid="{00000000-0004-0000-0300-000001000000}"/>
    <hyperlink ref="B20" location="'발주 등록'!A1" display="'발주 등록'!A1" xr:uid="{00000000-0004-0000-0300-000002000000}"/>
    <hyperlink ref="B21" location="'발주 등록'!A1" display="'발주 등록'!A1" xr:uid="{00000000-0004-0000-0300-000003000000}"/>
    <hyperlink ref="B22" location="입고등록!A1" display="입고등록!A1" xr:uid="{00000000-0004-0000-0300-000004000000}"/>
    <hyperlink ref="B27" location="BOM개취수!A1" display="BOM개취수!A1" xr:uid="{00000000-0004-0000-0300-000005000000}"/>
    <hyperlink ref="B51" location="라벨발행!A1" display="라벨발행!A1" xr:uid="{00000000-0004-0000-0300-000006000000}"/>
    <hyperlink ref="B26" location="'출하 다중팩'!A1" display="'출하 다중팩'!A1" xr:uid="{00000000-0004-0000-0300-000007000000}"/>
    <hyperlink ref="B52" location="'출하 다중팩'!A1" display="'출하 다중팩'!A1" xr:uid="{00000000-0004-0000-0300-000008000000}"/>
    <hyperlink ref="B53" location="'PACK 유형'!A1" display="'PACK 유형'!A1" xr:uid="{00000000-0004-0000-0300-000009000000}"/>
    <hyperlink ref="B54" location="출하packlist!A1" display="출하packlist!A1" xr:uid="{00000000-0004-0000-0300-00000A000000}"/>
    <hyperlink ref="B23" location="최소구매단위!A1" display="최소구매단위!A1" xr:uid="{00000000-0004-0000-0300-00000B000000}"/>
    <hyperlink ref="B55" location="검사수불부!A1" display="검사수불부!A1" xr:uid="{00000000-0004-0000-0300-00000C000000}"/>
    <hyperlink ref="B56" location="OPPODM!A1" display="OPPODM!A1" xr:uid="{00000000-0004-0000-0300-00000D000000}"/>
    <hyperlink ref="B57" location="슬리팅!A1" display="슬리팅!A1" xr:uid="{00000000-0004-0000-0300-00000E000000}"/>
    <hyperlink ref="B58" location="자재요청!A1" display="자재요청!A1" xr:uid="{00000000-0004-0000-0300-00000F000000}"/>
    <hyperlink ref="B59" location="자재요청!A1" display="자재요청!A1" xr:uid="{00000000-0004-0000-0300-000010000000}"/>
    <hyperlink ref="B13" location="금형라벨!A1" display="금형라벨!A1" xr:uid="{00000000-0004-0000-0300-000011000000}"/>
    <hyperlink ref="B60" location="입고등록!A1" display="입고등록!A1" xr:uid="{00000000-0004-0000-0300-000012000000}"/>
    <hyperlink ref="B62" location="'금형실적 관련'!A1" display="'금형실적 관련'!A1" xr:uid="{00000000-0004-0000-0300-000013000000}"/>
    <hyperlink ref="B63" location="실적등록편의!A1" display="실적등록편의!A1" xr:uid="{00000000-0004-0000-0300-000014000000}"/>
    <hyperlink ref="B64" location="공정조건기입!A1" display="공정조건기입!A1" xr:uid="{00000000-0004-0000-0300-000015000000}"/>
    <hyperlink ref="B65" location="Lotcard!A1" display="Lotcard!A1" xr:uid="{00000000-0004-0000-0300-000016000000}"/>
    <hyperlink ref="B66" location="Lotcard!A1" display="Lotcard!A1" xr:uid="{00000000-0004-0000-0300-000017000000}"/>
    <hyperlink ref="B67" location="Lotcard!A1" display="Lotcard!A1" xr:uid="{00000000-0004-0000-0300-000018000000}"/>
    <hyperlink ref="B68" location="재검사!A1" display="재검사!A1" xr:uid="{00000000-0004-0000-0300-000019000000}"/>
    <hyperlink ref="B70" location="AOI관련!A1" display="AOI관련!A1" xr:uid="{00000000-0004-0000-0300-00001A000000}"/>
    <hyperlink ref="B73" location="'UB 유효기간'!A1" display="'UB 유효기간'!A1" xr:uid="{00000000-0004-0000-0300-00001B000000}"/>
    <hyperlink ref="B74" location="'선합지 다중조건'!A1" display="'선합지 다중조건'!A1" xr:uid="{00000000-0004-0000-0300-00001C000000}"/>
    <hyperlink ref="B71" location="OPPODM!A1" display="OPPODM!A1" xr:uid="{00000000-0004-0000-0300-00001D000000}"/>
    <hyperlink ref="B75" location="인라인마킹!A1" display="인라인마킹!A1" xr:uid="{00000000-0004-0000-0300-00001E000000}"/>
    <hyperlink ref="B77" location="'B5'!A1" display="'B5'!A1" xr:uid="{00000000-0004-0000-0300-00001F000000}"/>
    <hyperlink ref="B78" location="금형CODE변경!A1" display="금형CODE변경!A1" xr:uid="{00000000-0004-0000-0300-000020000000}"/>
    <hyperlink ref="B80" location="'선합지 PROCESS'!A1" display="'선합지 PROCESS'!A1" xr:uid="{00000000-0004-0000-0300-000021000000}"/>
    <hyperlink ref="B84" location="자재요청!A96" display="자재요청!A96" xr:uid="{00000000-0004-0000-0300-000022000000}"/>
    <hyperlink ref="B86" location="공정재고!A1" display="공정재고!A1" xr:uid="{00000000-0004-0000-0300-000023000000}"/>
    <hyperlink ref="B83" location="'소요량 관련'!A1" display="'소요량 관련'!A1" xr:uid="{00000000-0004-0000-0300-000024000000}"/>
    <hyperlink ref="B85" location="공정재고!A1" display="공정재고!A1" xr:uid="{00000000-0004-0000-0300-000025000000}"/>
    <hyperlink ref="B88" location="자재요청!A151" display="자재요청!A151" xr:uid="{00000000-0004-0000-0300-000026000000}"/>
    <hyperlink ref="B89" location="'추가 인프라 구축'!A1" display="'추가 인프라 구축'!A1" xr:uid="{00000000-0004-0000-0300-000027000000}"/>
    <hyperlink ref="B90" location="포장관련!A1" display="포장관련!A1" xr:uid="{00000000-0004-0000-0300-000028000000}"/>
    <hyperlink ref="B91" location="pack관련!A1" display="pack관련!A1" xr:uid="{00000000-0004-0000-0300-000029000000}"/>
    <hyperlink ref="B93" location="AOI이미지!A1" display="AOI이미지!A1" xr:uid="{00000000-0004-0000-0300-00002A000000}"/>
    <hyperlink ref="B94" location="자재요청!A208" display="자재요청!A208" xr:uid="{00000000-0004-0000-0300-00002B000000}"/>
    <hyperlink ref="B82" location="불량양품화!A1" display="불량양품화!A1" xr:uid="{00000000-0004-0000-0300-00002C000000}"/>
    <hyperlink ref="B81" location="불량양품화!A81" display="불량양품화!A81" xr:uid="{00000000-0004-0000-0300-00002D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23"/>
  <sheetViews>
    <sheetView showGridLines="0" workbookViewId="0">
      <selection activeCell="C28" sqref="C28"/>
    </sheetView>
  </sheetViews>
  <sheetFormatPr defaultRowHeight="16.5"/>
  <cols>
    <col min="1" max="1" width="0.625" customWidth="1"/>
    <col min="2" max="2" width="24.75" customWidth="1"/>
    <col min="21" max="21" width="34.375" bestFit="1" customWidth="1"/>
  </cols>
  <sheetData>
    <row r="1" spans="2:21" ht="26.25">
      <c r="B1" s="206" t="s">
        <v>863</v>
      </c>
    </row>
    <row r="2" spans="2:21">
      <c r="B2" s="715" t="s">
        <v>864</v>
      </c>
      <c r="C2" s="715" t="s">
        <v>865</v>
      </c>
      <c r="D2" s="715"/>
      <c r="E2" s="715"/>
      <c r="F2" s="715"/>
      <c r="G2" s="715"/>
      <c r="H2" s="715" t="s">
        <v>866</v>
      </c>
      <c r="I2" s="715"/>
      <c r="J2" s="715"/>
      <c r="K2" s="715"/>
      <c r="L2" s="715" t="s">
        <v>867</v>
      </c>
      <c r="M2" s="715"/>
      <c r="N2" s="715"/>
      <c r="O2" s="715"/>
      <c r="P2" s="715" t="s">
        <v>868</v>
      </c>
      <c r="Q2" s="715"/>
      <c r="R2" s="715"/>
      <c r="S2" s="715"/>
      <c r="T2" s="715"/>
      <c r="U2" s="715" t="s">
        <v>869</v>
      </c>
    </row>
    <row r="3" spans="2:21">
      <c r="B3" s="715"/>
      <c r="C3" s="452" t="s">
        <v>871</v>
      </c>
      <c r="D3" s="452" t="s">
        <v>872</v>
      </c>
      <c r="E3" s="452" t="s">
        <v>873</v>
      </c>
      <c r="F3" s="452" t="s">
        <v>874</v>
      </c>
      <c r="G3" s="452" t="s">
        <v>875</v>
      </c>
      <c r="H3" s="452" t="s">
        <v>870</v>
      </c>
      <c r="I3" s="452" t="s">
        <v>872</v>
      </c>
      <c r="J3" s="452" t="s">
        <v>876</v>
      </c>
      <c r="K3" s="452" t="s">
        <v>877</v>
      </c>
      <c r="L3" s="452" t="s">
        <v>878</v>
      </c>
      <c r="M3" s="452" t="s">
        <v>872</v>
      </c>
      <c r="N3" s="452" t="s">
        <v>879</v>
      </c>
      <c r="O3" s="452" t="s">
        <v>880</v>
      </c>
      <c r="P3" s="452" t="s">
        <v>881</v>
      </c>
      <c r="Q3" s="452" t="s">
        <v>882</v>
      </c>
      <c r="R3" s="452" t="s">
        <v>883</v>
      </c>
      <c r="S3" s="452" t="s">
        <v>884</v>
      </c>
      <c r="T3" s="452" t="s">
        <v>885</v>
      </c>
      <c r="U3" s="715"/>
    </row>
    <row r="4" spans="2:21" ht="21.75" customHeight="1">
      <c r="B4" s="453" t="s">
        <v>886</v>
      </c>
      <c r="C4" s="454"/>
      <c r="D4" s="454"/>
      <c r="E4" s="454"/>
      <c r="F4" s="455"/>
      <c r="G4" s="455"/>
      <c r="H4" s="455"/>
      <c r="I4" s="455"/>
      <c r="J4" s="454"/>
      <c r="K4" s="454"/>
      <c r="L4" s="454"/>
      <c r="M4" s="454"/>
      <c r="N4" s="454"/>
      <c r="O4" s="454"/>
      <c r="P4" s="454"/>
      <c r="Q4" s="456"/>
      <c r="R4" s="457" t="s">
        <v>887</v>
      </c>
      <c r="S4" s="456"/>
      <c r="T4" s="456"/>
      <c r="U4" s="454"/>
    </row>
    <row r="5" spans="2:21" ht="21.75" customHeight="1">
      <c r="B5" s="453" t="s">
        <v>888</v>
      </c>
      <c r="C5" s="454"/>
      <c r="D5" s="454"/>
      <c r="E5" s="454"/>
      <c r="F5" s="454"/>
      <c r="G5" s="454"/>
      <c r="H5" s="454"/>
      <c r="I5" s="455" t="s">
        <v>889</v>
      </c>
      <c r="J5" s="455"/>
      <c r="K5" s="455"/>
      <c r="L5" s="454"/>
      <c r="M5" s="454"/>
      <c r="N5" s="454"/>
      <c r="O5" s="454"/>
      <c r="P5" s="454"/>
      <c r="Q5" s="456"/>
      <c r="R5" s="456"/>
      <c r="S5" s="456"/>
      <c r="T5" s="456"/>
      <c r="U5" s="454"/>
    </row>
    <row r="6" spans="2:21" ht="21.75" customHeight="1">
      <c r="B6" s="453" t="s">
        <v>890</v>
      </c>
      <c r="C6" s="454"/>
      <c r="D6" s="454"/>
      <c r="E6" s="454"/>
      <c r="F6" s="454"/>
      <c r="G6" s="454"/>
      <c r="H6" s="455"/>
      <c r="I6" s="455"/>
      <c r="J6" s="455"/>
      <c r="K6" s="455"/>
      <c r="L6" s="454"/>
      <c r="M6" s="454"/>
      <c r="N6" s="454"/>
      <c r="O6" s="454"/>
      <c r="P6" s="454"/>
      <c r="Q6" s="456"/>
      <c r="R6" s="456"/>
      <c r="S6" s="456"/>
      <c r="T6" s="456"/>
      <c r="U6" s="454" t="s">
        <v>891</v>
      </c>
    </row>
    <row r="7" spans="2:21" ht="21.75" customHeight="1">
      <c r="B7" s="453" t="s">
        <v>892</v>
      </c>
      <c r="C7" s="454"/>
      <c r="D7" s="454"/>
      <c r="E7" s="454"/>
      <c r="F7" s="454"/>
      <c r="G7" s="454"/>
      <c r="H7" s="454"/>
      <c r="I7" s="454"/>
      <c r="J7" s="454"/>
      <c r="K7" s="455"/>
      <c r="L7" s="455"/>
      <c r="M7" s="455"/>
      <c r="N7" s="455"/>
      <c r="O7" s="455"/>
      <c r="P7" s="454"/>
      <c r="Q7" s="456"/>
      <c r="R7" s="456"/>
      <c r="S7" s="456"/>
      <c r="T7" s="456"/>
      <c r="U7" s="454" t="s">
        <v>893</v>
      </c>
    </row>
    <row r="8" spans="2:21" ht="21.75" customHeight="1">
      <c r="B8" s="458" t="s">
        <v>894</v>
      </c>
      <c r="C8" s="454"/>
      <c r="D8" s="454"/>
      <c r="E8" s="454"/>
      <c r="F8" s="454"/>
      <c r="G8" s="454"/>
      <c r="H8" s="455"/>
      <c r="I8" s="455"/>
      <c r="J8" s="454"/>
      <c r="K8" s="454"/>
      <c r="L8" s="454"/>
      <c r="M8" s="454"/>
      <c r="N8" s="454"/>
      <c r="O8" s="454"/>
      <c r="P8" s="454"/>
      <c r="Q8" s="457" t="s">
        <v>895</v>
      </c>
      <c r="R8" s="456"/>
      <c r="S8" s="456"/>
      <c r="T8" s="456"/>
      <c r="U8" s="454"/>
    </row>
    <row r="9" spans="2:21" ht="21.75" customHeight="1">
      <c r="B9" s="458" t="s">
        <v>896</v>
      </c>
      <c r="C9" s="454"/>
      <c r="D9" s="454"/>
      <c r="E9" s="454"/>
      <c r="F9" s="454"/>
      <c r="G9" s="454"/>
      <c r="H9" s="454"/>
      <c r="I9" s="454"/>
      <c r="J9" s="455"/>
      <c r="K9" s="454"/>
      <c r="L9" s="454"/>
      <c r="M9" s="454"/>
      <c r="N9" s="454"/>
      <c r="O9" s="454"/>
      <c r="P9" s="454"/>
      <c r="Q9" s="456"/>
      <c r="R9" s="456"/>
      <c r="S9" s="456"/>
      <c r="T9" s="456"/>
      <c r="U9" s="454"/>
    </row>
    <row r="10" spans="2:21" ht="21.75" customHeight="1">
      <c r="B10" s="458" t="s">
        <v>897</v>
      </c>
      <c r="C10" s="454"/>
      <c r="D10" s="454"/>
      <c r="E10" s="454"/>
      <c r="F10" s="454"/>
      <c r="G10" s="454"/>
      <c r="H10" s="454"/>
      <c r="I10" s="454"/>
      <c r="J10" s="454"/>
      <c r="K10" s="455"/>
      <c r="L10" s="454"/>
      <c r="M10" s="454"/>
      <c r="N10" s="454"/>
      <c r="O10" s="454"/>
      <c r="P10" s="454"/>
      <c r="Q10" s="456"/>
      <c r="R10" s="456"/>
      <c r="S10" s="456"/>
      <c r="T10" s="456"/>
      <c r="U10" s="454"/>
    </row>
    <row r="11" spans="2:21" ht="21.75" customHeight="1">
      <c r="B11" s="458" t="s">
        <v>898</v>
      </c>
      <c r="C11" s="454"/>
      <c r="D11" s="454"/>
      <c r="E11" s="454"/>
      <c r="F11" s="454"/>
      <c r="G11" s="454"/>
      <c r="H11" s="454"/>
      <c r="I11" s="455"/>
      <c r="J11" s="454"/>
      <c r="K11" s="454"/>
      <c r="L11" s="454"/>
      <c r="M11" s="454"/>
      <c r="N11" s="454"/>
      <c r="O11" s="454"/>
      <c r="P11" s="454"/>
      <c r="Q11" s="456"/>
      <c r="R11" s="456"/>
      <c r="S11" s="457" t="s">
        <v>895</v>
      </c>
      <c r="T11" s="456"/>
      <c r="U11" s="454"/>
    </row>
    <row r="12" spans="2:21" ht="21.75" customHeight="1">
      <c r="B12" s="458" t="s">
        <v>899</v>
      </c>
      <c r="C12" s="454"/>
      <c r="D12" s="454"/>
      <c r="E12" s="455"/>
      <c r="F12" s="455"/>
      <c r="G12" s="454"/>
      <c r="H12" s="454"/>
      <c r="I12" s="454"/>
      <c r="J12" s="454"/>
      <c r="K12" s="454"/>
      <c r="L12" s="454"/>
      <c r="M12" s="454"/>
      <c r="N12" s="454"/>
      <c r="O12" s="454"/>
      <c r="P12" s="454"/>
      <c r="Q12" s="456"/>
      <c r="R12" s="456"/>
      <c r="S12" s="456"/>
      <c r="T12" s="456"/>
      <c r="U12" s="454"/>
    </row>
    <row r="13" spans="2:21" ht="21.75" customHeight="1">
      <c r="B13" s="458" t="s">
        <v>900</v>
      </c>
      <c r="C13" s="454"/>
      <c r="D13" s="454"/>
      <c r="E13" s="454"/>
      <c r="F13" s="454"/>
      <c r="G13" s="454"/>
      <c r="H13" s="454"/>
      <c r="I13" s="455"/>
      <c r="J13" s="455"/>
      <c r="K13" s="455"/>
      <c r="L13" s="454"/>
      <c r="M13" s="454"/>
      <c r="N13" s="454"/>
      <c r="O13" s="454"/>
      <c r="P13" s="454"/>
      <c r="Q13" s="457" t="s">
        <v>887</v>
      </c>
      <c r="R13" s="456"/>
      <c r="S13" s="456"/>
      <c r="T13" s="456"/>
      <c r="U13" s="454"/>
    </row>
    <row r="14" spans="2:21" ht="21.75" customHeight="1">
      <c r="B14" s="458" t="s">
        <v>901</v>
      </c>
      <c r="C14" s="454"/>
      <c r="D14" s="454"/>
      <c r="E14" s="454"/>
      <c r="F14" s="454"/>
      <c r="G14" s="454"/>
      <c r="H14" s="454"/>
      <c r="I14" s="455"/>
      <c r="J14" s="455"/>
      <c r="K14" s="455"/>
      <c r="L14" s="454"/>
      <c r="M14" s="454"/>
      <c r="N14" s="454"/>
      <c r="O14" s="454"/>
      <c r="P14" s="454"/>
      <c r="Q14" s="457" t="s">
        <v>895</v>
      </c>
      <c r="R14" s="456"/>
      <c r="S14" s="456"/>
      <c r="T14" s="456"/>
      <c r="U14" s="454"/>
    </row>
    <row r="15" spans="2:21" ht="21.75" customHeight="1">
      <c r="B15" s="458" t="s">
        <v>902</v>
      </c>
      <c r="C15" s="454"/>
      <c r="D15" s="454"/>
      <c r="E15" s="454"/>
      <c r="F15" s="454"/>
      <c r="G15" s="454"/>
      <c r="H15" s="454"/>
      <c r="I15" s="454"/>
      <c r="J15" s="454"/>
      <c r="K15" s="454"/>
      <c r="L15" s="455"/>
      <c r="M15" s="455"/>
      <c r="N15" s="454"/>
      <c r="O15" s="454"/>
      <c r="P15" s="454"/>
      <c r="Q15" s="456"/>
      <c r="R15" s="456"/>
      <c r="S15" s="456"/>
      <c r="T15" s="456"/>
      <c r="U15" s="454"/>
    </row>
    <row r="16" spans="2:21" ht="21.75" customHeight="1">
      <c r="B16" s="458" t="s">
        <v>903</v>
      </c>
      <c r="C16" s="454"/>
      <c r="D16" s="454"/>
      <c r="E16" s="454"/>
      <c r="F16" s="454"/>
      <c r="G16" s="454"/>
      <c r="H16" s="454"/>
      <c r="I16" s="454"/>
      <c r="J16" s="455"/>
      <c r="K16" s="454"/>
      <c r="L16" s="454"/>
      <c r="M16" s="454"/>
      <c r="N16" s="454"/>
      <c r="O16" s="454"/>
      <c r="P16" s="454"/>
      <c r="Q16" s="456"/>
      <c r="R16" s="456"/>
      <c r="S16" s="457" t="s">
        <v>904</v>
      </c>
      <c r="T16" s="456"/>
      <c r="U16" s="454"/>
    </row>
    <row r="17" spans="2:21" ht="21.75" customHeight="1">
      <c r="B17" s="458" t="s">
        <v>905</v>
      </c>
      <c r="C17" s="454"/>
      <c r="D17" s="454"/>
      <c r="E17" s="454"/>
      <c r="F17" s="454"/>
      <c r="G17" s="454"/>
      <c r="H17" s="454"/>
      <c r="I17" s="454"/>
      <c r="J17" s="454"/>
      <c r="K17" s="454"/>
      <c r="L17" s="454"/>
      <c r="M17" s="454"/>
      <c r="N17" s="455"/>
      <c r="O17" s="455"/>
      <c r="P17" s="454"/>
      <c r="Q17" s="456"/>
      <c r="R17" s="456"/>
      <c r="S17" s="456"/>
      <c r="T17" s="456"/>
      <c r="U17" s="454"/>
    </row>
    <row r="18" spans="2:21" ht="21.75" customHeight="1">
      <c r="B18" s="458" t="s">
        <v>906</v>
      </c>
      <c r="C18" s="454"/>
      <c r="D18" s="454"/>
      <c r="E18" s="454"/>
      <c r="F18" s="454"/>
      <c r="G18" s="454"/>
      <c r="H18" s="454"/>
      <c r="I18" s="454"/>
      <c r="J18" s="455"/>
      <c r="K18" s="455"/>
      <c r="L18" s="454"/>
      <c r="M18" s="454"/>
      <c r="N18" s="454"/>
      <c r="O18" s="454"/>
      <c r="P18" s="454"/>
      <c r="Q18" s="456"/>
      <c r="R18" s="456"/>
      <c r="S18" s="456"/>
      <c r="T18" s="456"/>
      <c r="U18" s="454" t="s">
        <v>908</v>
      </c>
    </row>
    <row r="19" spans="2:21" ht="21.75" customHeight="1">
      <c r="B19" s="458" t="s">
        <v>909</v>
      </c>
      <c r="C19" s="454"/>
      <c r="D19" s="454"/>
      <c r="E19" s="454"/>
      <c r="F19" s="455"/>
      <c r="G19" s="455"/>
      <c r="H19" s="455"/>
      <c r="I19" s="455"/>
      <c r="J19" s="454"/>
      <c r="K19" s="454"/>
      <c r="L19" s="454"/>
      <c r="M19" s="454"/>
      <c r="N19" s="454"/>
      <c r="O19" s="454"/>
      <c r="P19" s="454"/>
      <c r="Q19" s="456"/>
      <c r="R19" s="456"/>
      <c r="S19" s="456"/>
      <c r="T19" s="456"/>
      <c r="U19" s="454" t="s">
        <v>907</v>
      </c>
    </row>
    <row r="20" spans="2:21" ht="21.75" customHeight="1">
      <c r="B20" s="458" t="s">
        <v>910</v>
      </c>
      <c r="C20" s="454"/>
      <c r="D20" s="454"/>
      <c r="E20" s="454"/>
      <c r="F20" s="455"/>
      <c r="G20" s="455"/>
      <c r="H20" s="455"/>
      <c r="I20" s="455"/>
      <c r="J20" s="454"/>
      <c r="K20" s="454"/>
      <c r="L20" s="454"/>
      <c r="M20" s="454"/>
      <c r="N20" s="454"/>
      <c r="O20" s="454"/>
      <c r="P20" s="454"/>
      <c r="Q20" s="457" t="s">
        <v>911</v>
      </c>
      <c r="R20" s="457" t="s">
        <v>895</v>
      </c>
      <c r="S20" s="457" t="s">
        <v>912</v>
      </c>
      <c r="T20" s="456"/>
      <c r="U20" s="454"/>
    </row>
    <row r="21" spans="2:21" ht="21.75" customHeight="1">
      <c r="B21" s="458" t="s">
        <v>913</v>
      </c>
      <c r="C21" s="454"/>
      <c r="D21" s="454"/>
      <c r="E21" s="454"/>
      <c r="F21" s="454"/>
      <c r="G21" s="454"/>
      <c r="H21" s="454"/>
      <c r="I21" s="454"/>
      <c r="J21" s="454"/>
      <c r="K21" s="454"/>
      <c r="L21" s="454"/>
      <c r="M21" s="454"/>
      <c r="N21" s="455"/>
      <c r="O21" s="455"/>
      <c r="P21" s="454"/>
      <c r="Q21" s="456"/>
      <c r="R21" s="456"/>
      <c r="S21" s="456"/>
      <c r="T21" s="456"/>
      <c r="U21" s="454" t="s">
        <v>914</v>
      </c>
    </row>
    <row r="22" spans="2:21" ht="21.75" customHeight="1">
      <c r="B22" s="458" t="s">
        <v>915</v>
      </c>
      <c r="C22" s="454"/>
      <c r="D22" s="454"/>
      <c r="E22" s="454"/>
      <c r="F22" s="454"/>
      <c r="G22" s="454"/>
      <c r="H22" s="454"/>
      <c r="I22" s="454"/>
      <c r="J22" s="454"/>
      <c r="K22" s="454"/>
      <c r="L22" s="454"/>
      <c r="M22" s="454"/>
      <c r="N22" s="455"/>
      <c r="O22" s="455"/>
      <c r="P22" s="454"/>
      <c r="Q22" s="456"/>
      <c r="R22" s="456"/>
      <c r="S22" s="456"/>
      <c r="T22" s="456"/>
      <c r="U22" s="454"/>
    </row>
    <row r="23" spans="2:21" ht="21.75" customHeight="1">
      <c r="B23" s="458" t="s">
        <v>916</v>
      </c>
      <c r="C23" s="454"/>
      <c r="D23" s="454"/>
      <c r="E23" s="454"/>
      <c r="F23" s="454"/>
      <c r="G23" s="454"/>
      <c r="H23" s="454"/>
      <c r="I23" s="454"/>
      <c r="J23" s="454"/>
      <c r="K23" s="454"/>
      <c r="L23" s="454"/>
      <c r="M23" s="454"/>
      <c r="N23" s="454"/>
      <c r="O23" s="454"/>
      <c r="P23" s="454"/>
      <c r="Q23" s="456"/>
      <c r="R23" s="457" t="s">
        <v>1074</v>
      </c>
      <c r="S23" s="457" t="s">
        <v>1074</v>
      </c>
      <c r="T23" s="457" t="s">
        <v>1074</v>
      </c>
      <c r="U23" s="454"/>
    </row>
  </sheetData>
  <mergeCells count="6">
    <mergeCell ref="U2:U3"/>
    <mergeCell ref="B2:B3"/>
    <mergeCell ref="C2:G2"/>
    <mergeCell ref="H2:K2"/>
    <mergeCell ref="L2:O2"/>
    <mergeCell ref="P2:T2"/>
  </mergeCells>
  <phoneticPr fontId="1" type="noConversion"/>
  <printOptions horizontalCentered="1"/>
  <pageMargins left="0" right="0" top="0" bottom="0" header="0" footer="0"/>
  <pageSetup paperSize="9" scale="10"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AD19"/>
  <sheetViews>
    <sheetView showGridLines="0" workbookViewId="0">
      <selection activeCell="H21" sqref="H21"/>
    </sheetView>
  </sheetViews>
  <sheetFormatPr defaultRowHeight="16.5"/>
  <cols>
    <col min="1" max="1" width="1.625" customWidth="1"/>
    <col min="2" max="2" width="15.375" style="356" customWidth="1"/>
    <col min="3" max="3" width="12.625" style="356" customWidth="1"/>
    <col min="4" max="29" width="6.75" customWidth="1"/>
  </cols>
  <sheetData>
    <row r="2" spans="2:30">
      <c r="B2" s="40" t="s">
        <v>836</v>
      </c>
      <c r="C2" s="40"/>
      <c r="D2" s="203"/>
      <c r="E2" s="203"/>
      <c r="F2" s="203"/>
      <c r="G2" s="203"/>
      <c r="H2" s="203"/>
      <c r="I2" s="203"/>
      <c r="J2" s="203"/>
      <c r="K2" s="203"/>
      <c r="L2" s="203"/>
      <c r="M2" s="203"/>
      <c r="N2" s="203"/>
    </row>
    <row r="3" spans="2:30" ht="24.95" customHeight="1">
      <c r="B3" s="357" t="s">
        <v>837</v>
      </c>
      <c r="C3" s="357" t="s">
        <v>838</v>
      </c>
      <c r="D3" s="361">
        <v>1</v>
      </c>
      <c r="E3" s="361">
        <v>2</v>
      </c>
      <c r="F3" s="361">
        <v>3</v>
      </c>
      <c r="G3" s="361">
        <v>4</v>
      </c>
      <c r="H3" s="361">
        <v>5</v>
      </c>
      <c r="I3" s="361">
        <v>6</v>
      </c>
      <c r="J3" s="362">
        <v>7</v>
      </c>
      <c r="K3" s="361">
        <v>8</v>
      </c>
      <c r="L3" s="361">
        <v>9</v>
      </c>
      <c r="M3" s="361">
        <v>10</v>
      </c>
      <c r="N3" s="361">
        <v>11</v>
      </c>
      <c r="O3" s="361">
        <v>12</v>
      </c>
      <c r="P3" s="361">
        <v>13</v>
      </c>
      <c r="Q3" s="362">
        <v>14</v>
      </c>
      <c r="R3" s="361">
        <v>15</v>
      </c>
      <c r="S3" s="361">
        <v>16</v>
      </c>
      <c r="T3" s="361">
        <v>17</v>
      </c>
      <c r="U3" s="361">
        <v>18</v>
      </c>
      <c r="V3" s="361">
        <v>19</v>
      </c>
      <c r="W3" s="361">
        <v>20</v>
      </c>
      <c r="X3" s="362">
        <v>21</v>
      </c>
      <c r="Y3" s="361">
        <v>22</v>
      </c>
      <c r="Z3" s="361">
        <v>23</v>
      </c>
      <c r="AA3" s="361">
        <v>24</v>
      </c>
      <c r="AB3" s="203"/>
      <c r="AC3" s="203"/>
      <c r="AD3" s="203"/>
    </row>
    <row r="4" spans="2:30" ht="24.95" customHeight="1">
      <c r="B4" s="359" t="s">
        <v>841</v>
      </c>
      <c r="C4" s="87" t="s">
        <v>839</v>
      </c>
      <c r="D4" s="26"/>
      <c r="E4" s="26"/>
      <c r="F4" s="26"/>
      <c r="G4" s="26"/>
      <c r="H4" s="27"/>
      <c r="I4" s="27"/>
      <c r="J4" s="27"/>
      <c r="K4" s="27"/>
      <c r="L4" s="27"/>
      <c r="M4" s="27"/>
      <c r="N4" s="27"/>
      <c r="O4" s="27"/>
      <c r="P4" s="27"/>
      <c r="Q4" s="27"/>
      <c r="R4" s="27"/>
      <c r="S4" s="27"/>
      <c r="T4" s="27"/>
      <c r="U4" s="27"/>
      <c r="V4" s="27"/>
      <c r="W4" s="27"/>
      <c r="X4" s="27"/>
      <c r="Y4" s="27"/>
      <c r="Z4" s="27"/>
      <c r="AA4" s="27"/>
      <c r="AB4" s="203"/>
      <c r="AC4" s="203"/>
      <c r="AD4" s="203"/>
    </row>
    <row r="5" spans="2:30" ht="24.95" customHeight="1">
      <c r="B5" s="360" t="s">
        <v>853</v>
      </c>
      <c r="C5" s="360" t="s">
        <v>843</v>
      </c>
      <c r="D5" s="27"/>
      <c r="E5" s="27"/>
      <c r="F5" s="27"/>
      <c r="G5" s="27"/>
      <c r="H5" s="26"/>
      <c r="I5" s="26"/>
      <c r="J5" s="27"/>
      <c r="K5" s="27"/>
      <c r="L5" s="27"/>
      <c r="M5" s="27"/>
      <c r="N5" s="27"/>
      <c r="O5" s="27"/>
      <c r="P5" s="27"/>
      <c r="Q5" s="27"/>
      <c r="R5" s="27"/>
      <c r="S5" s="27"/>
      <c r="T5" s="27"/>
      <c r="U5" s="27"/>
      <c r="V5" s="27"/>
      <c r="W5" s="27"/>
      <c r="X5" s="27"/>
      <c r="Y5" s="27"/>
      <c r="Z5" s="27"/>
      <c r="AA5" s="27"/>
      <c r="AB5" s="203"/>
      <c r="AC5" s="203"/>
      <c r="AD5" s="203"/>
    </row>
    <row r="6" spans="2:30" ht="24.95" customHeight="1">
      <c r="B6" s="360" t="s">
        <v>854</v>
      </c>
      <c r="C6" s="360" t="s">
        <v>844</v>
      </c>
      <c r="D6" s="27"/>
      <c r="E6" s="27"/>
      <c r="F6" s="27"/>
      <c r="G6" s="27"/>
      <c r="H6" s="27"/>
      <c r="I6" s="26"/>
      <c r="J6" s="27"/>
      <c r="K6" s="26"/>
      <c r="L6" s="27"/>
      <c r="M6" s="27"/>
      <c r="N6" s="27"/>
      <c r="O6" s="27"/>
      <c r="P6" s="27"/>
      <c r="Q6" s="27"/>
      <c r="R6" s="27"/>
      <c r="S6" s="27"/>
      <c r="T6" s="27"/>
      <c r="U6" s="27"/>
      <c r="V6" s="27"/>
      <c r="W6" s="27"/>
      <c r="X6" s="27"/>
      <c r="Y6" s="27"/>
      <c r="Z6" s="27"/>
      <c r="AA6" s="27"/>
      <c r="AB6" s="203"/>
      <c r="AC6" s="203"/>
      <c r="AD6" s="203"/>
    </row>
    <row r="7" spans="2:30" ht="24.95" customHeight="1">
      <c r="B7" s="359" t="s">
        <v>855</v>
      </c>
      <c r="C7" s="360" t="s">
        <v>845</v>
      </c>
      <c r="D7" s="27"/>
      <c r="E7" s="27"/>
      <c r="F7" s="27"/>
      <c r="G7" s="27"/>
      <c r="H7" s="27"/>
      <c r="I7" s="26"/>
      <c r="J7" s="27"/>
      <c r="K7" s="26"/>
      <c r="L7" s="26"/>
      <c r="M7" s="27"/>
      <c r="N7" s="27"/>
      <c r="O7" s="27"/>
      <c r="P7" s="27"/>
      <c r="Q7" s="27"/>
      <c r="R7" s="27"/>
      <c r="S7" s="27"/>
      <c r="T7" s="27"/>
      <c r="U7" s="27"/>
      <c r="V7" s="27"/>
      <c r="W7" s="27"/>
      <c r="X7" s="27"/>
      <c r="Y7" s="27"/>
      <c r="Z7" s="27"/>
      <c r="AA7" s="27"/>
      <c r="AB7" s="203"/>
      <c r="AC7" s="203"/>
      <c r="AD7" s="203"/>
    </row>
    <row r="8" spans="2:30" ht="24.95" customHeight="1">
      <c r="B8" s="359" t="s">
        <v>849</v>
      </c>
      <c r="C8" s="360" t="s">
        <v>840</v>
      </c>
      <c r="D8" s="27"/>
      <c r="E8" s="27"/>
      <c r="F8" s="27"/>
      <c r="G8" s="27"/>
      <c r="H8" s="27"/>
      <c r="I8" s="27"/>
      <c r="J8" s="27"/>
      <c r="K8" s="27"/>
      <c r="L8" s="26"/>
      <c r="M8" s="26"/>
      <c r="N8" s="27"/>
      <c r="O8" s="27"/>
      <c r="P8" s="27"/>
      <c r="Q8" s="27"/>
      <c r="R8" s="27"/>
      <c r="S8" s="27"/>
      <c r="T8" s="27"/>
      <c r="U8" s="27"/>
      <c r="V8" s="27"/>
      <c r="W8" s="27"/>
      <c r="X8" s="27"/>
      <c r="Y8" s="27"/>
      <c r="Z8" s="27"/>
      <c r="AA8" s="27"/>
      <c r="AB8" s="203"/>
      <c r="AC8" s="203"/>
      <c r="AD8" s="203"/>
    </row>
    <row r="9" spans="2:30" ht="24.95" customHeight="1">
      <c r="B9" s="359" t="s">
        <v>850</v>
      </c>
      <c r="C9" s="360" t="s">
        <v>840</v>
      </c>
      <c r="D9" s="27"/>
      <c r="E9" s="27"/>
      <c r="F9" s="27"/>
      <c r="G9" s="27"/>
      <c r="H9" s="27"/>
      <c r="I9" s="27"/>
      <c r="J9" s="27"/>
      <c r="K9" s="27"/>
      <c r="L9" s="27"/>
      <c r="M9" s="26"/>
      <c r="N9" s="26"/>
      <c r="O9" s="26"/>
      <c r="P9" s="27"/>
      <c r="Q9" s="27"/>
      <c r="R9" s="27"/>
      <c r="S9" s="27"/>
      <c r="T9" s="27"/>
      <c r="U9" s="27"/>
      <c r="V9" s="27"/>
      <c r="W9" s="27"/>
      <c r="X9" s="27"/>
      <c r="Y9" s="27"/>
      <c r="Z9" s="27"/>
      <c r="AA9" s="27"/>
      <c r="AB9" s="203"/>
      <c r="AC9" s="203"/>
      <c r="AD9" s="203"/>
    </row>
    <row r="10" spans="2:30" ht="24.95" customHeight="1">
      <c r="B10" s="359" t="s">
        <v>852</v>
      </c>
      <c r="C10" s="360" t="s">
        <v>840</v>
      </c>
      <c r="D10" s="27"/>
      <c r="E10" s="27"/>
      <c r="F10" s="27"/>
      <c r="G10" s="27"/>
      <c r="H10" s="27"/>
      <c r="I10" s="27"/>
      <c r="J10" s="27"/>
      <c r="K10" s="27"/>
      <c r="L10" s="27"/>
      <c r="M10" s="27"/>
      <c r="N10" s="27"/>
      <c r="O10" s="26"/>
      <c r="P10" s="26"/>
      <c r="Q10" s="27"/>
      <c r="R10" s="26"/>
      <c r="S10" s="26"/>
      <c r="T10" s="27"/>
      <c r="U10" s="27"/>
      <c r="V10" s="27"/>
      <c r="W10" s="27"/>
      <c r="X10" s="27"/>
      <c r="Y10" s="27"/>
      <c r="Z10" s="27"/>
      <c r="AA10" s="27"/>
      <c r="AB10" s="203"/>
      <c r="AC10" s="203"/>
      <c r="AD10" s="203"/>
    </row>
    <row r="11" spans="2:30" ht="24.95" customHeight="1">
      <c r="B11" s="360" t="s">
        <v>851</v>
      </c>
      <c r="C11" s="87" t="s">
        <v>839</v>
      </c>
      <c r="D11" s="27"/>
      <c r="E11" s="27"/>
      <c r="F11" s="27"/>
      <c r="G11" s="27"/>
      <c r="H11" s="27"/>
      <c r="I11" s="27"/>
      <c r="J11" s="27"/>
      <c r="K11" s="27"/>
      <c r="L11" s="27"/>
      <c r="M11" s="26"/>
      <c r="N11" s="26"/>
      <c r="O11" s="26"/>
      <c r="P11" s="27"/>
      <c r="Q11" s="27"/>
      <c r="R11" s="27"/>
      <c r="S11" s="27"/>
      <c r="T11" s="27"/>
      <c r="U11" s="27"/>
      <c r="V11" s="27"/>
      <c r="W11" s="27"/>
      <c r="X11" s="27"/>
      <c r="Y11" s="27"/>
      <c r="Z11" s="27"/>
      <c r="AA11" s="27"/>
      <c r="AB11" s="203"/>
      <c r="AC11" s="203"/>
      <c r="AD11" s="203"/>
    </row>
    <row r="12" spans="2:30" ht="24.95" customHeight="1">
      <c r="B12" s="360" t="s">
        <v>846</v>
      </c>
      <c r="C12" s="360" t="s">
        <v>840</v>
      </c>
      <c r="D12" s="27"/>
      <c r="E12" s="27"/>
      <c r="F12" s="27"/>
      <c r="G12" s="27"/>
      <c r="H12" s="27"/>
      <c r="I12" s="27"/>
      <c r="J12" s="27"/>
      <c r="K12" s="27"/>
      <c r="L12" s="27"/>
      <c r="M12" s="27"/>
      <c r="N12" s="27"/>
      <c r="O12" s="27"/>
      <c r="P12" s="27"/>
      <c r="Q12" s="27"/>
      <c r="R12" s="27"/>
      <c r="S12" s="26"/>
      <c r="T12" s="26"/>
      <c r="U12" s="26"/>
      <c r="V12" s="26"/>
      <c r="W12" s="27"/>
      <c r="X12" s="27"/>
      <c r="Y12" s="27"/>
      <c r="Z12" s="27"/>
      <c r="AA12" s="27"/>
      <c r="AB12" s="203"/>
      <c r="AC12" s="203"/>
      <c r="AD12" s="203"/>
    </row>
    <row r="13" spans="2:30" s="203" customFormat="1" ht="24.95" customHeight="1">
      <c r="B13" s="360" t="s">
        <v>856</v>
      </c>
      <c r="C13" s="360" t="s">
        <v>857</v>
      </c>
      <c r="D13" s="26"/>
      <c r="E13" s="26"/>
      <c r="F13" s="26"/>
      <c r="G13" s="26"/>
      <c r="H13" s="26"/>
      <c r="I13" s="26"/>
      <c r="J13" s="27"/>
      <c r="K13" s="26"/>
      <c r="L13" s="26"/>
      <c r="M13" s="27"/>
      <c r="N13" s="27"/>
      <c r="O13" s="27"/>
      <c r="P13" s="27"/>
      <c r="Q13" s="27"/>
      <c r="R13" s="27"/>
      <c r="S13" s="27"/>
      <c r="T13" s="27"/>
      <c r="U13" s="27"/>
      <c r="V13" s="27"/>
      <c r="W13" s="27"/>
      <c r="X13" s="27"/>
      <c r="Y13" s="27"/>
      <c r="Z13" s="27"/>
      <c r="AA13" s="27"/>
    </row>
    <row r="14" spans="2:30" ht="24.95" customHeight="1">
      <c r="B14" s="360" t="s">
        <v>847</v>
      </c>
      <c r="C14" s="360" t="s">
        <v>840</v>
      </c>
      <c r="D14" s="27"/>
      <c r="E14" s="27"/>
      <c r="F14" s="27"/>
      <c r="G14" s="27"/>
      <c r="H14" s="27"/>
      <c r="I14" s="27"/>
      <c r="J14" s="27"/>
      <c r="K14" s="27"/>
      <c r="L14" s="27"/>
      <c r="M14" s="27"/>
      <c r="N14" s="27"/>
      <c r="O14" s="27"/>
      <c r="P14" s="27"/>
      <c r="Q14" s="27"/>
      <c r="R14" s="27"/>
      <c r="S14" s="26"/>
      <c r="T14" s="26"/>
      <c r="U14" s="26"/>
      <c r="V14" s="26"/>
      <c r="W14" s="27"/>
      <c r="X14" s="27"/>
      <c r="Y14" s="27"/>
      <c r="Z14" s="27"/>
      <c r="AA14" s="27"/>
      <c r="AB14" s="203"/>
      <c r="AC14" s="203"/>
      <c r="AD14" s="203"/>
    </row>
    <row r="15" spans="2:30" ht="24.95" customHeight="1">
      <c r="B15" s="360" t="s">
        <v>848</v>
      </c>
      <c r="C15" s="87" t="s">
        <v>839</v>
      </c>
      <c r="D15" s="26"/>
      <c r="E15" s="26"/>
      <c r="F15" s="26"/>
      <c r="G15" s="26"/>
      <c r="H15" s="26"/>
      <c r="I15" s="26"/>
      <c r="J15" s="27"/>
      <c r="K15" s="27"/>
      <c r="L15" s="27"/>
      <c r="M15" s="27"/>
      <c r="N15" s="27"/>
      <c r="O15" s="27"/>
      <c r="P15" s="27"/>
      <c r="Q15" s="27"/>
      <c r="R15" s="27"/>
      <c r="S15" s="27"/>
      <c r="T15" s="27"/>
      <c r="U15" s="27"/>
      <c r="V15" s="27"/>
      <c r="W15" s="27"/>
      <c r="X15" s="27"/>
      <c r="Y15" s="27"/>
      <c r="Z15" s="27"/>
      <c r="AA15" s="27"/>
      <c r="AB15" s="203"/>
      <c r="AC15" s="203"/>
      <c r="AD15" s="203"/>
    </row>
    <row r="16" spans="2:30" ht="24.95" customHeight="1">
      <c r="B16" s="360" t="s">
        <v>842</v>
      </c>
      <c r="C16" s="87" t="s">
        <v>839</v>
      </c>
      <c r="D16" s="27"/>
      <c r="E16" s="27"/>
      <c r="F16" s="27"/>
      <c r="G16" s="27"/>
      <c r="H16" s="27"/>
      <c r="I16" s="27"/>
      <c r="J16" s="27"/>
      <c r="K16" s="27"/>
      <c r="L16" s="27"/>
      <c r="M16" s="26"/>
      <c r="N16" s="26"/>
      <c r="O16" s="26"/>
      <c r="P16" s="26"/>
      <c r="Q16" s="27"/>
      <c r="R16" s="26"/>
      <c r="S16" s="26"/>
      <c r="T16" s="26"/>
      <c r="U16" s="26"/>
      <c r="V16" s="26"/>
      <c r="W16" s="26"/>
      <c r="X16" s="27"/>
      <c r="Y16" s="26"/>
      <c r="Z16" s="26"/>
      <c r="AA16" s="26"/>
      <c r="AB16" s="203"/>
      <c r="AC16" s="203"/>
      <c r="AD16" s="203"/>
    </row>
    <row r="17" spans="28:30">
      <c r="AB17" s="203"/>
      <c r="AC17" s="203"/>
      <c r="AD17" s="203"/>
    </row>
    <row r="18" spans="28:30">
      <c r="AB18" s="203"/>
      <c r="AC18" s="203"/>
      <c r="AD18" s="203"/>
    </row>
    <row r="19" spans="28:30">
      <c r="AB19" s="203"/>
      <c r="AC19" s="203"/>
      <c r="AD19" s="203"/>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FFC000"/>
  </sheetPr>
  <dimension ref="B2:V49"/>
  <sheetViews>
    <sheetView showGridLines="0" zoomScale="85" zoomScaleNormal="85" workbookViewId="0">
      <selection activeCell="M53" sqref="M53"/>
    </sheetView>
  </sheetViews>
  <sheetFormatPr defaultRowHeight="16.5"/>
  <cols>
    <col min="1" max="1" width="3.75" customWidth="1"/>
    <col min="4" max="4" width="12.75" bestFit="1" customWidth="1"/>
    <col min="5" max="5" width="18.5" bestFit="1" customWidth="1"/>
    <col min="6" max="8" width="11.75" customWidth="1"/>
    <col min="9" max="22" width="9.75" customWidth="1"/>
  </cols>
  <sheetData>
    <row r="2" spans="2:13" hidden="1">
      <c r="B2" s="18" t="s">
        <v>116</v>
      </c>
    </row>
    <row r="3" spans="2:13" ht="24.95" hidden="1" customHeight="1">
      <c r="B3" s="642" t="s">
        <v>100</v>
      </c>
      <c r="C3" s="642" t="s">
        <v>99</v>
      </c>
      <c r="D3" s="642" t="s">
        <v>102</v>
      </c>
      <c r="E3" s="642" t="s">
        <v>105</v>
      </c>
      <c r="F3" s="642" t="s">
        <v>106</v>
      </c>
      <c r="G3" s="642"/>
      <c r="H3" s="642"/>
      <c r="I3" s="642"/>
      <c r="J3" s="642"/>
      <c r="K3" s="642"/>
      <c r="L3" s="642"/>
      <c r="M3" s="17"/>
    </row>
    <row r="4" spans="2:13" ht="24.95" hidden="1" customHeight="1">
      <c r="B4" s="642"/>
      <c r="C4" s="642"/>
      <c r="D4" s="642"/>
      <c r="E4" s="642"/>
      <c r="F4" s="24" t="s">
        <v>113</v>
      </c>
      <c r="G4" s="24" t="s">
        <v>66</v>
      </c>
      <c r="H4" s="24" t="s">
        <v>107</v>
      </c>
      <c r="I4" s="24" t="s">
        <v>108</v>
      </c>
      <c r="J4" s="24" t="s">
        <v>109</v>
      </c>
      <c r="K4" s="24" t="s">
        <v>110</v>
      </c>
      <c r="L4" s="24" t="s">
        <v>111</v>
      </c>
    </row>
    <row r="5" spans="2:13" ht="24.95" hidden="1" customHeight="1">
      <c r="B5" s="23" t="s">
        <v>101</v>
      </c>
      <c r="C5" s="23" t="s">
        <v>97</v>
      </c>
      <c r="D5" s="23" t="s">
        <v>96</v>
      </c>
      <c r="E5" s="32" t="s">
        <v>103</v>
      </c>
      <c r="F5" s="32" t="s">
        <v>112</v>
      </c>
      <c r="G5" s="23" t="s">
        <v>114</v>
      </c>
      <c r="H5" s="23" t="s">
        <v>114</v>
      </c>
      <c r="I5" s="23" t="s">
        <v>114</v>
      </c>
      <c r="J5" s="23" t="s">
        <v>115</v>
      </c>
      <c r="K5" s="23" t="s">
        <v>115</v>
      </c>
      <c r="L5" s="23" t="s">
        <v>115</v>
      </c>
    </row>
    <row r="6" spans="2:13" ht="24.95" hidden="1" customHeight="1">
      <c r="B6" s="23" t="s">
        <v>101</v>
      </c>
      <c r="C6" s="23" t="s">
        <v>98</v>
      </c>
      <c r="D6" s="23" t="s">
        <v>95</v>
      </c>
      <c r="E6" s="23" t="s">
        <v>104</v>
      </c>
      <c r="F6" s="23" t="s">
        <v>112</v>
      </c>
      <c r="G6" s="23" t="s">
        <v>114</v>
      </c>
      <c r="H6" s="23" t="s">
        <v>114</v>
      </c>
      <c r="I6" s="23" t="s">
        <v>114</v>
      </c>
      <c r="J6" s="23" t="s">
        <v>115</v>
      </c>
      <c r="K6" s="23" t="s">
        <v>115</v>
      </c>
      <c r="L6" s="23" t="s">
        <v>115</v>
      </c>
    </row>
    <row r="7" spans="2:13" hidden="1"/>
    <row r="8" spans="2:13" hidden="1">
      <c r="B8" s="18" t="s">
        <v>132</v>
      </c>
    </row>
    <row r="9" spans="2:13" ht="24.95" hidden="1" customHeight="1">
      <c r="B9" s="642" t="s">
        <v>100</v>
      </c>
      <c r="C9" s="642" t="s">
        <v>99</v>
      </c>
      <c r="D9" s="642" t="s">
        <v>102</v>
      </c>
      <c r="E9" s="642" t="s">
        <v>105</v>
      </c>
      <c r="F9" s="642" t="s">
        <v>106</v>
      </c>
      <c r="G9" s="642"/>
      <c r="H9" s="642"/>
      <c r="I9" s="642"/>
      <c r="J9" s="642"/>
      <c r="K9" s="642"/>
      <c r="L9" s="642"/>
    </row>
    <row r="10" spans="2:13" ht="24.95" hidden="1" customHeight="1">
      <c r="B10" s="642"/>
      <c r="C10" s="642"/>
      <c r="D10" s="642"/>
      <c r="E10" s="642"/>
      <c r="F10" s="24" t="s">
        <v>113</v>
      </c>
      <c r="G10" s="24" t="s">
        <v>66</v>
      </c>
      <c r="H10" s="24" t="s">
        <v>107</v>
      </c>
      <c r="I10" s="24" t="s">
        <v>108</v>
      </c>
      <c r="J10" s="24" t="s">
        <v>109</v>
      </c>
      <c r="K10" s="24" t="s">
        <v>110</v>
      </c>
      <c r="L10" s="24" t="s">
        <v>111</v>
      </c>
    </row>
    <row r="11" spans="2:13" ht="24.95" hidden="1" customHeight="1">
      <c r="B11" s="23" t="s">
        <v>101</v>
      </c>
      <c r="C11" s="23" t="s">
        <v>97</v>
      </c>
      <c r="D11" s="23" t="s">
        <v>96</v>
      </c>
      <c r="E11" s="32" t="s">
        <v>103</v>
      </c>
      <c r="F11" s="32" t="s">
        <v>112</v>
      </c>
      <c r="G11" s="23" t="s">
        <v>119</v>
      </c>
      <c r="H11" s="32" t="s">
        <v>112</v>
      </c>
      <c r="I11" s="23" t="s">
        <v>119</v>
      </c>
      <c r="J11" s="23" t="s">
        <v>115</v>
      </c>
      <c r="K11" s="23" t="s">
        <v>115</v>
      </c>
      <c r="L11" s="23" t="s">
        <v>115</v>
      </c>
    </row>
    <row r="12" spans="2:13" ht="24.95" hidden="1" customHeight="1">
      <c r="B12" s="23" t="s">
        <v>101</v>
      </c>
      <c r="C12" s="23" t="s">
        <v>98</v>
      </c>
      <c r="D12" s="23" t="s">
        <v>95</v>
      </c>
      <c r="E12" s="23" t="s">
        <v>104</v>
      </c>
      <c r="F12" s="23" t="s">
        <v>112</v>
      </c>
      <c r="G12" s="23" t="s">
        <v>119</v>
      </c>
      <c r="H12" s="32" t="s">
        <v>112</v>
      </c>
      <c r="I12" s="23" t="s">
        <v>119</v>
      </c>
      <c r="J12" s="23" t="s">
        <v>115</v>
      </c>
      <c r="K12" s="23" t="s">
        <v>115</v>
      </c>
      <c r="L12" s="23" t="s">
        <v>115</v>
      </c>
    </row>
    <row r="13" spans="2:13" hidden="1"/>
    <row r="14" spans="2:13" hidden="1">
      <c r="B14" s="18" t="s">
        <v>133</v>
      </c>
    </row>
    <row r="15" spans="2:13" ht="24.95" hidden="1" customHeight="1">
      <c r="B15" s="642" t="s">
        <v>100</v>
      </c>
      <c r="C15" s="642" t="s">
        <v>99</v>
      </c>
      <c r="D15" s="642" t="s">
        <v>102</v>
      </c>
      <c r="E15" s="642" t="s">
        <v>105</v>
      </c>
      <c r="F15" s="642" t="s">
        <v>106</v>
      </c>
      <c r="G15" s="642"/>
      <c r="H15" s="642"/>
      <c r="I15" s="642"/>
      <c r="J15" s="642"/>
      <c r="K15" s="642"/>
      <c r="L15" s="642"/>
    </row>
    <row r="16" spans="2:13" ht="24.95" hidden="1" customHeight="1">
      <c r="B16" s="642"/>
      <c r="C16" s="642"/>
      <c r="D16" s="642"/>
      <c r="E16" s="642"/>
      <c r="F16" s="24" t="s">
        <v>113</v>
      </c>
      <c r="G16" s="24" t="s">
        <v>66</v>
      </c>
      <c r="H16" s="24" t="s">
        <v>107</v>
      </c>
      <c r="I16" s="24" t="s">
        <v>108</v>
      </c>
      <c r="J16" s="24" t="s">
        <v>109</v>
      </c>
      <c r="K16" s="24" t="s">
        <v>110</v>
      </c>
      <c r="L16" s="24" t="s">
        <v>111</v>
      </c>
    </row>
    <row r="17" spans="2:22" ht="24.95" hidden="1" customHeight="1">
      <c r="B17" s="23" t="s">
        <v>101</v>
      </c>
      <c r="C17" s="23" t="s">
        <v>97</v>
      </c>
      <c r="D17" s="23" t="s">
        <v>130</v>
      </c>
      <c r="E17" s="32"/>
      <c r="F17" s="23" t="s">
        <v>115</v>
      </c>
      <c r="G17" s="23" t="s">
        <v>115</v>
      </c>
      <c r="H17" s="23" t="s">
        <v>115</v>
      </c>
      <c r="I17" s="23" t="s">
        <v>115</v>
      </c>
      <c r="J17" s="23" t="s">
        <v>115</v>
      </c>
      <c r="K17" s="23" t="s">
        <v>115</v>
      </c>
      <c r="L17" s="23" t="s">
        <v>115</v>
      </c>
    </row>
    <row r="18" spans="2:22" ht="24.95" hidden="1" customHeight="1">
      <c r="B18" s="23" t="s">
        <v>101</v>
      </c>
      <c r="C18" s="23" t="s">
        <v>98</v>
      </c>
      <c r="D18" s="23" t="s">
        <v>95</v>
      </c>
      <c r="E18" s="23" t="s">
        <v>104</v>
      </c>
      <c r="F18" s="23" t="s">
        <v>112</v>
      </c>
      <c r="G18" s="23" t="s">
        <v>119</v>
      </c>
      <c r="H18" s="32" t="s">
        <v>112</v>
      </c>
      <c r="I18" s="23" t="s">
        <v>119</v>
      </c>
      <c r="J18" s="23" t="s">
        <v>115</v>
      </c>
      <c r="K18" s="23" t="s">
        <v>115</v>
      </c>
      <c r="L18" s="23" t="s">
        <v>115</v>
      </c>
    </row>
    <row r="19" spans="2:22" hidden="1">
      <c r="B19" t="s">
        <v>126</v>
      </c>
    </row>
    <row r="20" spans="2:22" hidden="1"/>
    <row r="21" spans="2:22" ht="20.25">
      <c r="B21" s="2" t="s">
        <v>360</v>
      </c>
    </row>
    <row r="22" spans="2:22" ht="24.95" customHeight="1">
      <c r="B22" s="642" t="s">
        <v>100</v>
      </c>
      <c r="C22" s="642" t="s">
        <v>99</v>
      </c>
      <c r="D22" s="642" t="s">
        <v>102</v>
      </c>
      <c r="E22" s="642" t="s">
        <v>105</v>
      </c>
      <c r="F22" s="642" t="s">
        <v>106</v>
      </c>
      <c r="G22" s="642"/>
      <c r="H22" s="642"/>
      <c r="I22" s="642"/>
      <c r="J22" s="642"/>
      <c r="K22" s="642"/>
      <c r="L22" s="642"/>
      <c r="M22" s="642"/>
    </row>
    <row r="23" spans="2:22" ht="24.95" customHeight="1">
      <c r="B23" s="642"/>
      <c r="C23" s="642"/>
      <c r="D23" s="642"/>
      <c r="E23" s="642"/>
      <c r="F23" s="24" t="s">
        <v>113</v>
      </c>
      <c r="G23" s="24" t="s">
        <v>66</v>
      </c>
      <c r="H23" s="24" t="s">
        <v>107</v>
      </c>
      <c r="I23" s="24" t="s">
        <v>108</v>
      </c>
      <c r="J23" s="24" t="s">
        <v>109</v>
      </c>
      <c r="K23" s="24" t="s">
        <v>110</v>
      </c>
      <c r="L23" s="24" t="s">
        <v>111</v>
      </c>
      <c r="M23" s="24" t="s">
        <v>134</v>
      </c>
    </row>
    <row r="24" spans="2:22" ht="24.95" customHeight="1">
      <c r="B24" s="45" t="s">
        <v>101</v>
      </c>
      <c r="C24" s="45" t="s">
        <v>98</v>
      </c>
      <c r="D24" s="45" t="s">
        <v>131</v>
      </c>
      <c r="E24" s="44" t="s">
        <v>135</v>
      </c>
      <c r="F24" s="45" t="s">
        <v>112</v>
      </c>
      <c r="G24" s="73" t="s">
        <v>112</v>
      </c>
      <c r="H24" s="44" t="s">
        <v>112</v>
      </c>
      <c r="I24" s="73" t="s">
        <v>112</v>
      </c>
      <c r="J24" s="45" t="s">
        <v>115</v>
      </c>
      <c r="K24" s="45" t="s">
        <v>115</v>
      </c>
      <c r="L24" s="45" t="s">
        <v>115</v>
      </c>
      <c r="M24" s="45" t="s">
        <v>115</v>
      </c>
      <c r="N24" s="82" t="s">
        <v>343</v>
      </c>
    </row>
    <row r="25" spans="2:22" ht="24.95" customHeight="1">
      <c r="B25" s="45" t="s">
        <v>101</v>
      </c>
      <c r="C25" s="45" t="s">
        <v>98</v>
      </c>
      <c r="D25" s="45" t="s">
        <v>95</v>
      </c>
      <c r="E25" s="45" t="s">
        <v>104</v>
      </c>
      <c r="F25" s="45" t="s">
        <v>112</v>
      </c>
      <c r="G25" s="44" t="s">
        <v>112</v>
      </c>
      <c r="H25" s="44" t="s">
        <v>112</v>
      </c>
      <c r="I25" s="44" t="s">
        <v>112</v>
      </c>
      <c r="J25" s="44" t="s">
        <v>112</v>
      </c>
      <c r="K25" s="44" t="s">
        <v>112</v>
      </c>
      <c r="L25" s="44" t="s">
        <v>112</v>
      </c>
      <c r="M25" s="45" t="s">
        <v>115</v>
      </c>
    </row>
    <row r="26" spans="2:22" ht="24.95" customHeight="1">
      <c r="B26" s="65" t="s">
        <v>101</v>
      </c>
      <c r="C26" s="65" t="s">
        <v>98</v>
      </c>
      <c r="D26" s="65" t="s">
        <v>324</v>
      </c>
      <c r="E26" s="65" t="s">
        <v>325</v>
      </c>
      <c r="F26" s="65" t="s">
        <v>112</v>
      </c>
      <c r="G26" s="64" t="s">
        <v>112</v>
      </c>
      <c r="H26" s="64" t="s">
        <v>112</v>
      </c>
      <c r="I26" s="73" t="s">
        <v>112</v>
      </c>
      <c r="J26" s="64" t="s">
        <v>314</v>
      </c>
      <c r="K26" s="64" t="s">
        <v>326</v>
      </c>
      <c r="L26" s="64" t="s">
        <v>327</v>
      </c>
      <c r="M26" s="72" t="s">
        <v>115</v>
      </c>
    </row>
    <row r="27" spans="2:22">
      <c r="B27" t="s">
        <v>136</v>
      </c>
    </row>
    <row r="28" spans="2:22">
      <c r="B28" t="s">
        <v>137</v>
      </c>
    </row>
    <row r="30" spans="2:22" ht="20.25">
      <c r="B30" s="2" t="s">
        <v>160</v>
      </c>
    </row>
    <row r="31" spans="2:22" ht="24.95" customHeight="1">
      <c r="B31" s="24" t="s">
        <v>138</v>
      </c>
      <c r="C31" s="642" t="s">
        <v>139</v>
      </c>
      <c r="D31" s="642"/>
      <c r="E31" s="24" t="s">
        <v>140</v>
      </c>
      <c r="F31" s="642" t="s">
        <v>147</v>
      </c>
      <c r="G31" s="642"/>
      <c r="H31" s="642"/>
      <c r="I31" s="29">
        <v>45008</v>
      </c>
      <c r="J31" s="29">
        <f>+I31+1</f>
        <v>45009</v>
      </c>
      <c r="K31" s="29">
        <f t="shared" ref="K31:V31" si="0">+J31+1</f>
        <v>45010</v>
      </c>
      <c r="L31" s="28">
        <f t="shared" si="0"/>
        <v>45011</v>
      </c>
      <c r="M31" s="29">
        <f t="shared" si="0"/>
        <v>45012</v>
      </c>
      <c r="N31" s="29">
        <f t="shared" si="0"/>
        <v>45013</v>
      </c>
      <c r="O31" s="29">
        <f t="shared" si="0"/>
        <v>45014</v>
      </c>
      <c r="P31" s="29">
        <f t="shared" si="0"/>
        <v>45015</v>
      </c>
      <c r="Q31" s="29">
        <f t="shared" si="0"/>
        <v>45016</v>
      </c>
      <c r="R31" s="29">
        <f t="shared" si="0"/>
        <v>45017</v>
      </c>
      <c r="S31" s="28">
        <f t="shared" si="0"/>
        <v>45018</v>
      </c>
      <c r="T31" s="29">
        <f t="shared" si="0"/>
        <v>45019</v>
      </c>
      <c r="U31" s="29">
        <f t="shared" si="0"/>
        <v>45020</v>
      </c>
      <c r="V31" s="29">
        <f t="shared" si="0"/>
        <v>45021</v>
      </c>
    </row>
    <row r="32" spans="2:22" ht="33" customHeight="1">
      <c r="B32" s="30">
        <v>1</v>
      </c>
      <c r="C32" s="518" t="s">
        <v>158</v>
      </c>
      <c r="D32" s="518"/>
      <c r="E32" s="25">
        <v>45008</v>
      </c>
      <c r="F32" s="596" t="s">
        <v>162</v>
      </c>
      <c r="G32" s="593"/>
      <c r="H32" s="593"/>
      <c r="I32" s="33" t="s">
        <v>165</v>
      </c>
      <c r="J32" s="27"/>
      <c r="K32" s="27"/>
      <c r="L32" s="27"/>
      <c r="M32" s="27"/>
      <c r="N32" s="27"/>
      <c r="O32" s="27"/>
      <c r="P32" s="27"/>
      <c r="Q32" s="27"/>
      <c r="R32" s="27"/>
      <c r="S32" s="27"/>
      <c r="T32" s="27"/>
      <c r="U32" s="27"/>
      <c r="V32" s="27"/>
    </row>
    <row r="33" spans="2:22" ht="29.25" customHeight="1">
      <c r="B33" s="30">
        <f>+B32+1</f>
        <v>2</v>
      </c>
      <c r="C33" s="518" t="s">
        <v>142</v>
      </c>
      <c r="D33" s="518"/>
      <c r="E33" s="25">
        <v>45008</v>
      </c>
      <c r="F33" s="593" t="s">
        <v>188</v>
      </c>
      <c r="G33" s="593"/>
      <c r="H33" s="593"/>
      <c r="I33" s="33" t="s">
        <v>165</v>
      </c>
      <c r="J33" s="33" t="s">
        <v>112</v>
      </c>
      <c r="K33" s="27"/>
      <c r="L33" s="27"/>
      <c r="M33" s="27"/>
      <c r="N33" s="27"/>
      <c r="O33" s="27"/>
      <c r="P33" s="27"/>
      <c r="Q33" s="27"/>
      <c r="R33" s="27"/>
      <c r="S33" s="27"/>
      <c r="T33" s="27"/>
      <c r="U33" s="27"/>
      <c r="V33" s="27"/>
    </row>
    <row r="34" spans="2:22" ht="29.25" customHeight="1">
      <c r="B34" s="31">
        <f t="shared" ref="B34:B47" si="1">+B33+1</f>
        <v>3</v>
      </c>
      <c r="C34" s="716" t="s">
        <v>196</v>
      </c>
      <c r="D34" s="618"/>
      <c r="E34" s="25" t="s">
        <v>197</v>
      </c>
      <c r="F34" s="636" t="s">
        <v>198</v>
      </c>
      <c r="G34" s="637"/>
      <c r="H34" s="638"/>
      <c r="I34" s="27"/>
      <c r="J34" s="33" t="s">
        <v>112</v>
      </c>
      <c r="K34" s="33" t="s">
        <v>112</v>
      </c>
      <c r="L34" s="27"/>
      <c r="M34" s="27"/>
      <c r="N34" s="27"/>
      <c r="O34" s="27"/>
      <c r="P34" s="27"/>
      <c r="Q34" s="27"/>
      <c r="R34" s="27"/>
      <c r="S34" s="27"/>
      <c r="T34" s="27"/>
      <c r="U34" s="27"/>
      <c r="V34" s="27"/>
    </row>
    <row r="35" spans="2:22" ht="29.25" customHeight="1">
      <c r="B35" s="31">
        <f t="shared" si="1"/>
        <v>4</v>
      </c>
      <c r="C35" s="518" t="s">
        <v>143</v>
      </c>
      <c r="D35" s="518"/>
      <c r="E35" s="25" t="s">
        <v>144</v>
      </c>
      <c r="F35" s="593" t="s">
        <v>159</v>
      </c>
      <c r="G35" s="593"/>
      <c r="H35" s="593"/>
      <c r="I35" s="27"/>
      <c r="J35" s="27"/>
      <c r="K35" s="27"/>
      <c r="L35" s="27"/>
      <c r="M35" s="27"/>
      <c r="N35" s="27"/>
      <c r="O35" s="27"/>
      <c r="P35" s="27"/>
      <c r="Q35" s="27"/>
      <c r="R35" s="27"/>
      <c r="S35" s="27"/>
      <c r="T35" s="27"/>
      <c r="U35" s="27"/>
      <c r="V35" s="27"/>
    </row>
    <row r="36" spans="2:22" ht="29.25" customHeight="1">
      <c r="B36" s="31">
        <f t="shared" si="1"/>
        <v>5</v>
      </c>
      <c r="C36" s="716" t="s">
        <v>199</v>
      </c>
      <c r="D36" s="618"/>
      <c r="E36" s="25"/>
      <c r="F36" s="636" t="s">
        <v>200</v>
      </c>
      <c r="G36" s="637"/>
      <c r="H36" s="638"/>
      <c r="I36" s="27"/>
      <c r="J36" s="27"/>
      <c r="K36" s="33" t="s">
        <v>112</v>
      </c>
      <c r="L36" s="27"/>
      <c r="M36" s="27"/>
      <c r="N36" s="27"/>
      <c r="O36" s="27"/>
      <c r="P36" s="27"/>
      <c r="Q36" s="27"/>
      <c r="R36" s="27"/>
      <c r="S36" s="27"/>
      <c r="T36" s="27"/>
      <c r="U36" s="27"/>
      <c r="V36" s="27"/>
    </row>
    <row r="37" spans="2:22" ht="29.25" customHeight="1">
      <c r="B37" s="31">
        <f t="shared" si="1"/>
        <v>6</v>
      </c>
      <c r="C37" s="716" t="s">
        <v>163</v>
      </c>
      <c r="D37" s="618"/>
      <c r="E37" s="25">
        <v>45010</v>
      </c>
      <c r="F37" s="636" t="s">
        <v>164</v>
      </c>
      <c r="G37" s="637"/>
      <c r="H37" s="638"/>
      <c r="I37" s="27"/>
      <c r="J37" s="27"/>
      <c r="K37" s="35" t="s">
        <v>209</v>
      </c>
      <c r="L37" s="27"/>
      <c r="M37" s="33" t="s">
        <v>112</v>
      </c>
      <c r="N37" s="78"/>
      <c r="O37" s="78"/>
      <c r="P37" s="78"/>
      <c r="Q37" s="78"/>
      <c r="R37" s="78"/>
      <c r="S37" s="78"/>
      <c r="T37" s="78"/>
      <c r="U37" s="78"/>
      <c r="V37" s="27"/>
    </row>
    <row r="38" spans="2:22" ht="29.25" customHeight="1">
      <c r="B38" s="31">
        <f t="shared" si="1"/>
        <v>7</v>
      </c>
      <c r="C38" s="716" t="s">
        <v>201</v>
      </c>
      <c r="D38" s="618"/>
      <c r="E38" s="25"/>
      <c r="F38" s="636" t="s">
        <v>202</v>
      </c>
      <c r="G38" s="637"/>
      <c r="H38" s="638"/>
      <c r="I38" s="27"/>
      <c r="J38" s="27"/>
      <c r="K38" s="78"/>
      <c r="L38" s="27"/>
      <c r="M38" s="78"/>
      <c r="N38" s="78"/>
      <c r="O38" s="78"/>
      <c r="P38" s="78"/>
      <c r="Q38" s="78"/>
      <c r="R38" s="78"/>
      <c r="S38" s="78"/>
      <c r="T38" s="78"/>
      <c r="U38" s="33" t="s">
        <v>279</v>
      </c>
      <c r="V38" s="33" t="s">
        <v>112</v>
      </c>
    </row>
    <row r="39" spans="2:22" ht="29.25" customHeight="1">
      <c r="B39" s="31">
        <f t="shared" si="1"/>
        <v>8</v>
      </c>
      <c r="C39" s="518" t="s">
        <v>141</v>
      </c>
      <c r="D39" s="518"/>
      <c r="E39" s="25" t="s">
        <v>210</v>
      </c>
      <c r="F39" s="596" t="s">
        <v>167</v>
      </c>
      <c r="G39" s="593"/>
      <c r="H39" s="593"/>
      <c r="I39" s="27"/>
      <c r="J39" s="27"/>
      <c r="K39" s="35" t="s">
        <v>209</v>
      </c>
      <c r="L39" s="27"/>
      <c r="M39" s="33" t="s">
        <v>112</v>
      </c>
      <c r="N39" s="27"/>
      <c r="O39" s="33" t="s">
        <v>112</v>
      </c>
      <c r="P39" s="27"/>
      <c r="Q39" s="27"/>
      <c r="R39" s="27"/>
      <c r="S39" s="27"/>
      <c r="T39" s="27"/>
      <c r="U39" s="27"/>
      <c r="V39" s="27"/>
    </row>
    <row r="40" spans="2:22" ht="29.25" customHeight="1">
      <c r="B40" s="31">
        <f t="shared" si="1"/>
        <v>9</v>
      </c>
      <c r="C40" s="518" t="s">
        <v>145</v>
      </c>
      <c r="D40" s="518"/>
      <c r="E40" s="25">
        <v>45009</v>
      </c>
      <c r="F40" s="593" t="s">
        <v>216</v>
      </c>
      <c r="G40" s="593"/>
      <c r="H40" s="593"/>
      <c r="I40" s="27"/>
      <c r="J40" s="27"/>
      <c r="K40" s="27"/>
      <c r="L40" s="27"/>
      <c r="M40" s="33" t="s">
        <v>112</v>
      </c>
      <c r="N40" s="27"/>
      <c r="O40" s="27"/>
      <c r="P40" s="27"/>
      <c r="R40" s="27"/>
      <c r="S40" s="27"/>
      <c r="T40" s="27"/>
      <c r="U40" s="27"/>
      <c r="V40" s="27"/>
    </row>
    <row r="41" spans="2:22" ht="29.25" customHeight="1">
      <c r="B41" s="31">
        <f t="shared" si="1"/>
        <v>10</v>
      </c>
      <c r="C41" s="518" t="s">
        <v>146</v>
      </c>
      <c r="D41" s="518"/>
      <c r="E41" s="25">
        <v>45012</v>
      </c>
      <c r="F41" s="593" t="s">
        <v>166</v>
      </c>
      <c r="G41" s="593"/>
      <c r="H41" s="593"/>
      <c r="I41" s="27"/>
      <c r="J41" s="27"/>
      <c r="K41" s="27"/>
      <c r="L41" s="27"/>
      <c r="M41" s="27"/>
      <c r="N41" s="33" t="s">
        <v>112</v>
      </c>
      <c r="O41" s="78"/>
      <c r="P41" s="78"/>
      <c r="Q41" s="78"/>
      <c r="R41" s="78"/>
      <c r="S41" s="78"/>
      <c r="T41" s="78"/>
      <c r="U41" s="78"/>
      <c r="V41" s="78"/>
    </row>
    <row r="42" spans="2:22" ht="29.25" customHeight="1">
      <c r="B42" s="31">
        <f t="shared" si="1"/>
        <v>11</v>
      </c>
      <c r="C42" s="518" t="s">
        <v>168</v>
      </c>
      <c r="D42" s="518"/>
      <c r="E42" s="25">
        <v>45008</v>
      </c>
      <c r="F42" s="593" t="s">
        <v>211</v>
      </c>
      <c r="G42" s="593"/>
      <c r="H42" s="593"/>
      <c r="I42" s="33" t="s">
        <v>112</v>
      </c>
      <c r="J42" s="27"/>
      <c r="K42" s="33" t="s">
        <v>112</v>
      </c>
      <c r="L42" s="27"/>
      <c r="M42" s="27"/>
      <c r="N42" s="27"/>
      <c r="O42" s="27"/>
      <c r="P42" s="27"/>
      <c r="Q42" s="27"/>
      <c r="R42" s="27"/>
      <c r="S42" s="27"/>
      <c r="T42" s="27"/>
      <c r="U42" s="27"/>
      <c r="V42" s="27"/>
    </row>
    <row r="43" spans="2:22" ht="29.25" customHeight="1">
      <c r="B43" s="31">
        <f t="shared" si="1"/>
        <v>12</v>
      </c>
      <c r="C43" s="518" t="s">
        <v>148</v>
      </c>
      <c r="D43" s="518"/>
      <c r="E43" s="25">
        <v>45010</v>
      </c>
      <c r="F43" s="593" t="s">
        <v>149</v>
      </c>
      <c r="G43" s="593"/>
      <c r="H43" s="593"/>
      <c r="I43" s="27"/>
      <c r="J43" s="27"/>
      <c r="K43" s="27"/>
      <c r="L43" s="27"/>
      <c r="M43" s="33" t="s">
        <v>112</v>
      </c>
      <c r="N43" s="33" t="s">
        <v>112</v>
      </c>
      <c r="O43" s="33" t="s">
        <v>112</v>
      </c>
      <c r="P43" s="27"/>
      <c r="Q43" s="27"/>
      <c r="R43" s="27"/>
      <c r="S43" s="27"/>
      <c r="T43" s="27"/>
      <c r="U43" s="27"/>
      <c r="V43" s="27"/>
    </row>
    <row r="44" spans="2:22" ht="29.25" customHeight="1">
      <c r="B44" s="31">
        <f t="shared" si="1"/>
        <v>13</v>
      </c>
      <c r="C44" s="518" t="s">
        <v>150</v>
      </c>
      <c r="D44" s="518"/>
      <c r="E44" s="25" t="s">
        <v>314</v>
      </c>
      <c r="F44" s="593" t="s">
        <v>157</v>
      </c>
      <c r="G44" s="593"/>
      <c r="H44" s="593"/>
      <c r="I44" s="27"/>
      <c r="J44" s="27"/>
      <c r="K44" s="27"/>
      <c r="L44" s="27"/>
      <c r="M44" s="27"/>
      <c r="N44" s="27"/>
      <c r="O44" s="27"/>
      <c r="P44" s="27"/>
      <c r="Q44" s="27"/>
      <c r="R44" s="27"/>
      <c r="S44" s="27"/>
      <c r="T44" s="27"/>
      <c r="U44" s="27"/>
      <c r="V44" s="27"/>
    </row>
    <row r="45" spans="2:22" ht="29.25" customHeight="1">
      <c r="B45" s="31">
        <f t="shared" si="1"/>
        <v>14</v>
      </c>
      <c r="C45" s="518" t="s">
        <v>152</v>
      </c>
      <c r="D45" s="518"/>
      <c r="E45" s="25" t="s">
        <v>151</v>
      </c>
      <c r="F45" s="593"/>
      <c r="G45" s="593"/>
      <c r="H45" s="593"/>
      <c r="I45" s="27"/>
      <c r="J45" s="27"/>
      <c r="K45" s="27"/>
      <c r="L45" s="27"/>
      <c r="M45" s="78"/>
      <c r="N45" s="78"/>
      <c r="O45" s="78"/>
      <c r="P45" s="78"/>
      <c r="Q45" s="78"/>
      <c r="R45" s="78"/>
      <c r="S45" s="78"/>
      <c r="T45" s="78"/>
      <c r="U45" s="78"/>
      <c r="V45" s="78"/>
    </row>
    <row r="46" spans="2:22" ht="29.25" customHeight="1">
      <c r="B46" s="31">
        <f t="shared" si="1"/>
        <v>15</v>
      </c>
      <c r="C46" s="518" t="s">
        <v>161</v>
      </c>
      <c r="D46" s="518"/>
      <c r="E46" s="25" t="s">
        <v>323</v>
      </c>
      <c r="F46" s="593" t="s">
        <v>153</v>
      </c>
      <c r="G46" s="593"/>
      <c r="H46" s="593"/>
      <c r="I46" s="27"/>
      <c r="J46" s="27"/>
      <c r="K46" s="27"/>
      <c r="L46" s="27"/>
      <c r="M46" s="27"/>
      <c r="N46" s="27"/>
      <c r="O46" s="27"/>
      <c r="P46" s="27"/>
      <c r="Q46" s="27"/>
      <c r="R46" s="27"/>
      <c r="S46" s="27"/>
      <c r="T46" s="27"/>
      <c r="U46" s="27"/>
      <c r="V46" s="27"/>
    </row>
    <row r="47" spans="2:22" ht="29.25" customHeight="1">
      <c r="B47" s="31">
        <f t="shared" si="1"/>
        <v>16</v>
      </c>
      <c r="C47" s="518" t="s">
        <v>155</v>
      </c>
      <c r="D47" s="518"/>
      <c r="E47" s="25" t="s">
        <v>156</v>
      </c>
      <c r="F47" s="593"/>
      <c r="G47" s="593"/>
      <c r="H47" s="593"/>
      <c r="I47" s="27"/>
      <c r="J47" s="27"/>
      <c r="K47" s="27"/>
      <c r="L47" s="27"/>
      <c r="M47" s="27"/>
      <c r="N47" s="27"/>
      <c r="O47" s="27"/>
      <c r="P47" s="27"/>
      <c r="Q47" s="27"/>
      <c r="R47" s="27"/>
      <c r="S47" s="27"/>
      <c r="T47" s="27"/>
      <c r="U47" s="27"/>
      <c r="V47" s="27"/>
    </row>
    <row r="48" spans="2:22">
      <c r="B48" t="s">
        <v>212</v>
      </c>
    </row>
    <row r="49" spans="2:2">
      <c r="B49" t="s">
        <v>218</v>
      </c>
    </row>
  </sheetData>
  <mergeCells count="54">
    <mergeCell ref="B9:B10"/>
    <mergeCell ref="C9:C10"/>
    <mergeCell ref="D9:D10"/>
    <mergeCell ref="E9:E10"/>
    <mergeCell ref="F9:L9"/>
    <mergeCell ref="E3:E4"/>
    <mergeCell ref="D3:D4"/>
    <mergeCell ref="C3:C4"/>
    <mergeCell ref="B3:B4"/>
    <mergeCell ref="F3:L3"/>
    <mergeCell ref="B15:B16"/>
    <mergeCell ref="C15:C16"/>
    <mergeCell ref="D15:D16"/>
    <mergeCell ref="E15:E16"/>
    <mergeCell ref="F15:L15"/>
    <mergeCell ref="C31:D31"/>
    <mergeCell ref="C32:D32"/>
    <mergeCell ref="F31:H31"/>
    <mergeCell ref="F32:H32"/>
    <mergeCell ref="B22:B23"/>
    <mergeCell ref="C22:C23"/>
    <mergeCell ref="D22:D23"/>
    <mergeCell ref="E22:E23"/>
    <mergeCell ref="F22:M22"/>
    <mergeCell ref="C33:D33"/>
    <mergeCell ref="C35:D35"/>
    <mergeCell ref="C39:D39"/>
    <mergeCell ref="C40:D40"/>
    <mergeCell ref="C41:D41"/>
    <mergeCell ref="C34:D34"/>
    <mergeCell ref="C36:D36"/>
    <mergeCell ref="C38:D38"/>
    <mergeCell ref="F33:H33"/>
    <mergeCell ref="F35:H35"/>
    <mergeCell ref="F39:H39"/>
    <mergeCell ref="F40:H40"/>
    <mergeCell ref="F41:H41"/>
    <mergeCell ref="F34:H34"/>
    <mergeCell ref="F36:H36"/>
    <mergeCell ref="F38:H38"/>
    <mergeCell ref="C46:D46"/>
    <mergeCell ref="F46:H46"/>
    <mergeCell ref="C47:D47"/>
    <mergeCell ref="F47:H47"/>
    <mergeCell ref="C37:D37"/>
    <mergeCell ref="F37:H37"/>
    <mergeCell ref="C42:D42"/>
    <mergeCell ref="F42:H42"/>
    <mergeCell ref="C43:D43"/>
    <mergeCell ref="F43:H43"/>
    <mergeCell ref="C44:D44"/>
    <mergeCell ref="F44:H44"/>
    <mergeCell ref="C45:D45"/>
    <mergeCell ref="F45:H4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FFC000"/>
  </sheetPr>
  <dimension ref="B2:AK36"/>
  <sheetViews>
    <sheetView showGridLines="0" topLeftCell="J13" zoomScaleNormal="100" workbookViewId="0">
      <selection activeCell="M53" sqref="M53"/>
    </sheetView>
  </sheetViews>
  <sheetFormatPr defaultRowHeight="16.5"/>
  <cols>
    <col min="1" max="1" width="3.75" customWidth="1"/>
    <col min="4" max="5" width="23.625" customWidth="1"/>
    <col min="6" max="13" width="11.25" customWidth="1"/>
    <col min="14" max="37" width="9.75" customWidth="1"/>
  </cols>
  <sheetData>
    <row r="2" spans="2:37" ht="20.25">
      <c r="B2" s="2" t="s">
        <v>359</v>
      </c>
    </row>
    <row r="3" spans="2:37" ht="24.95" customHeight="1">
      <c r="B3" s="717" t="s">
        <v>100</v>
      </c>
      <c r="C3" s="719" t="s">
        <v>99</v>
      </c>
      <c r="D3" s="719" t="s">
        <v>318</v>
      </c>
      <c r="E3" s="719" t="s">
        <v>307</v>
      </c>
      <c r="F3" s="719" t="s">
        <v>106</v>
      </c>
      <c r="G3" s="719"/>
      <c r="H3" s="719"/>
      <c r="I3" s="719"/>
      <c r="J3" s="719"/>
      <c r="K3" s="719"/>
      <c r="L3" s="719"/>
      <c r="M3" s="722"/>
    </row>
    <row r="4" spans="2:37" ht="24.95" customHeight="1">
      <c r="B4" s="718"/>
      <c r="C4" s="720"/>
      <c r="D4" s="720"/>
      <c r="E4" s="721"/>
      <c r="F4" s="46" t="s">
        <v>113</v>
      </c>
      <c r="G4" s="46" t="s">
        <v>66</v>
      </c>
      <c r="H4" s="46" t="s">
        <v>107</v>
      </c>
      <c r="I4" s="46" t="s">
        <v>108</v>
      </c>
      <c r="J4" s="46" t="s">
        <v>109</v>
      </c>
      <c r="K4" s="46" t="s">
        <v>110</v>
      </c>
      <c r="L4" s="46" t="s">
        <v>111</v>
      </c>
      <c r="M4" s="58" t="s">
        <v>134</v>
      </c>
    </row>
    <row r="5" spans="2:37" ht="24.95" customHeight="1">
      <c r="B5" s="723" t="s">
        <v>280</v>
      </c>
      <c r="C5" s="723" t="s">
        <v>98</v>
      </c>
      <c r="D5" s="74" t="s">
        <v>328</v>
      </c>
      <c r="E5" s="49" t="s">
        <v>281</v>
      </c>
      <c r="F5" s="47" t="s">
        <v>112</v>
      </c>
      <c r="G5" s="16" t="s">
        <v>112</v>
      </c>
      <c r="H5" s="16" t="s">
        <v>112</v>
      </c>
      <c r="I5" s="16" t="s">
        <v>112</v>
      </c>
      <c r="J5" s="60" t="s">
        <v>112</v>
      </c>
      <c r="K5" s="60" t="s">
        <v>112</v>
      </c>
      <c r="L5" s="47" t="s">
        <v>115</v>
      </c>
      <c r="M5" s="10" t="s">
        <v>115</v>
      </c>
    </row>
    <row r="6" spans="2:37" ht="24.95" customHeight="1">
      <c r="B6" s="723"/>
      <c r="C6" s="723"/>
      <c r="D6" s="50" t="s">
        <v>300</v>
      </c>
      <c r="E6" s="49" t="s">
        <v>298</v>
      </c>
      <c r="F6" s="47" t="s">
        <v>112</v>
      </c>
      <c r="G6" s="16" t="s">
        <v>112</v>
      </c>
      <c r="H6" s="16" t="s">
        <v>112</v>
      </c>
      <c r="I6" s="16" t="s">
        <v>112</v>
      </c>
      <c r="J6" s="60" t="s">
        <v>112</v>
      </c>
      <c r="K6" s="60" t="s">
        <v>112</v>
      </c>
      <c r="L6" s="47" t="s">
        <v>84</v>
      </c>
      <c r="M6" s="60" t="s">
        <v>112</v>
      </c>
      <c r="N6" s="61" t="s">
        <v>302</v>
      </c>
    </row>
    <row r="7" spans="2:37" ht="24.95" customHeight="1">
      <c r="B7" s="723"/>
      <c r="C7" s="723"/>
      <c r="D7" s="50" t="s">
        <v>301</v>
      </c>
      <c r="E7" s="70" t="s">
        <v>299</v>
      </c>
      <c r="F7" s="59" t="s">
        <v>112</v>
      </c>
      <c r="G7" s="60" t="s">
        <v>112</v>
      </c>
      <c r="H7" s="60" t="s">
        <v>112</v>
      </c>
      <c r="I7" s="60" t="s">
        <v>112</v>
      </c>
      <c r="J7" s="60" t="s">
        <v>112</v>
      </c>
      <c r="K7" s="60" t="s">
        <v>112</v>
      </c>
      <c r="L7" s="59" t="s">
        <v>84</v>
      </c>
      <c r="M7" s="60" t="s">
        <v>112</v>
      </c>
      <c r="N7" s="61" t="s">
        <v>302</v>
      </c>
    </row>
    <row r="8" spans="2:37">
      <c r="B8" t="s">
        <v>136</v>
      </c>
      <c r="M8" t="s">
        <v>215</v>
      </c>
    </row>
    <row r="9" spans="2:37">
      <c r="B9" t="s">
        <v>137</v>
      </c>
    </row>
    <row r="11" spans="2:37" ht="20.25">
      <c r="B11" s="2" t="s">
        <v>160</v>
      </c>
    </row>
    <row r="12" spans="2:37" ht="24.95" customHeight="1">
      <c r="B12" s="42" t="s">
        <v>138</v>
      </c>
      <c r="C12" s="642" t="s">
        <v>15</v>
      </c>
      <c r="D12" s="642"/>
      <c r="E12" s="42" t="s">
        <v>140</v>
      </c>
      <c r="F12" s="642" t="s">
        <v>4</v>
      </c>
      <c r="G12" s="642"/>
      <c r="H12" s="642"/>
      <c r="I12" s="29">
        <v>45012</v>
      </c>
      <c r="J12" s="29">
        <f>+I12+1</f>
        <v>45013</v>
      </c>
      <c r="K12" s="29">
        <f t="shared" ref="K12:V12" si="0">+J12+1</f>
        <v>45014</v>
      </c>
      <c r="L12" s="29">
        <f t="shared" si="0"/>
        <v>45015</v>
      </c>
      <c r="M12" s="29">
        <f t="shared" si="0"/>
        <v>45016</v>
      </c>
      <c r="N12" s="29">
        <f t="shared" si="0"/>
        <v>45017</v>
      </c>
      <c r="O12" s="28">
        <f t="shared" si="0"/>
        <v>45018</v>
      </c>
      <c r="P12" s="29">
        <f t="shared" si="0"/>
        <v>45019</v>
      </c>
      <c r="Q12" s="29">
        <f t="shared" si="0"/>
        <v>45020</v>
      </c>
      <c r="R12" s="29">
        <f t="shared" si="0"/>
        <v>45021</v>
      </c>
      <c r="S12" s="29">
        <f t="shared" si="0"/>
        <v>45022</v>
      </c>
      <c r="T12" s="29">
        <f t="shared" si="0"/>
        <v>45023</v>
      </c>
      <c r="U12" s="29">
        <f t="shared" si="0"/>
        <v>45024</v>
      </c>
      <c r="V12" s="28">
        <f t="shared" si="0"/>
        <v>45025</v>
      </c>
      <c r="W12" s="29">
        <f t="shared" ref="W12:AK12" si="1">+V12+1</f>
        <v>45026</v>
      </c>
      <c r="X12" s="29">
        <f t="shared" si="1"/>
        <v>45027</v>
      </c>
      <c r="Y12" s="29">
        <f t="shared" si="1"/>
        <v>45028</v>
      </c>
      <c r="Z12" s="29">
        <f t="shared" si="1"/>
        <v>45029</v>
      </c>
      <c r="AA12" s="29">
        <f t="shared" si="1"/>
        <v>45030</v>
      </c>
      <c r="AB12" s="29">
        <f t="shared" si="1"/>
        <v>45031</v>
      </c>
      <c r="AC12" s="28">
        <f t="shared" si="1"/>
        <v>45032</v>
      </c>
      <c r="AD12" s="29">
        <f t="shared" si="1"/>
        <v>45033</v>
      </c>
      <c r="AE12" s="29">
        <f t="shared" si="1"/>
        <v>45034</v>
      </c>
      <c r="AF12" s="29">
        <f t="shared" si="1"/>
        <v>45035</v>
      </c>
      <c r="AG12" s="29">
        <f t="shared" si="1"/>
        <v>45036</v>
      </c>
      <c r="AH12" s="29">
        <f t="shared" si="1"/>
        <v>45037</v>
      </c>
      <c r="AI12" s="29">
        <f t="shared" si="1"/>
        <v>45038</v>
      </c>
      <c r="AJ12" s="28">
        <f t="shared" si="1"/>
        <v>45039</v>
      </c>
      <c r="AK12" s="29">
        <f t="shared" si="1"/>
        <v>45040</v>
      </c>
    </row>
    <row r="13" spans="2:37" ht="33" customHeight="1">
      <c r="B13" s="43">
        <v>1</v>
      </c>
      <c r="C13" s="518" t="s">
        <v>158</v>
      </c>
      <c r="D13" s="518"/>
      <c r="E13" s="25" t="s">
        <v>283</v>
      </c>
      <c r="F13" s="596" t="s">
        <v>282</v>
      </c>
      <c r="G13" s="593"/>
      <c r="H13" s="593"/>
      <c r="I13" s="27"/>
      <c r="J13" s="27"/>
      <c r="K13" s="27"/>
      <c r="L13" s="27"/>
      <c r="M13" s="33" t="s">
        <v>165</v>
      </c>
      <c r="N13" s="27"/>
      <c r="O13" s="27"/>
      <c r="P13" s="27"/>
      <c r="Q13" s="27"/>
      <c r="R13" s="27"/>
      <c r="S13" s="27"/>
      <c r="T13" s="27"/>
      <c r="U13" s="27"/>
      <c r="V13" s="27"/>
      <c r="W13" s="27"/>
      <c r="X13" s="27"/>
      <c r="Y13" s="27"/>
      <c r="Z13" s="27"/>
      <c r="AA13" s="27"/>
      <c r="AB13" s="27"/>
      <c r="AC13" s="27"/>
      <c r="AD13" s="27"/>
      <c r="AE13" s="27"/>
      <c r="AF13" s="27"/>
      <c r="AG13" s="27"/>
      <c r="AH13" s="27"/>
      <c r="AI13" s="27"/>
      <c r="AJ13" s="27"/>
      <c r="AK13" s="27"/>
    </row>
    <row r="14" spans="2:37" ht="29.25" customHeight="1">
      <c r="B14" s="43">
        <f t="shared" ref="B14:B19" si="2">+B13+1</f>
        <v>2</v>
      </c>
      <c r="C14" s="518" t="s">
        <v>142</v>
      </c>
      <c r="D14" s="518"/>
      <c r="E14" s="25" t="s">
        <v>284</v>
      </c>
      <c r="F14" s="593" t="s">
        <v>285</v>
      </c>
      <c r="G14" s="593"/>
      <c r="H14" s="593"/>
      <c r="I14" s="27"/>
      <c r="J14" s="27"/>
      <c r="K14" s="27"/>
      <c r="L14" s="27"/>
      <c r="M14" s="78"/>
      <c r="N14" s="78"/>
      <c r="O14" s="27"/>
      <c r="P14" s="78"/>
      <c r="Q14" s="78"/>
      <c r="R14" s="78"/>
      <c r="S14" s="33" t="s">
        <v>165</v>
      </c>
      <c r="T14" s="27"/>
      <c r="U14" s="27"/>
      <c r="V14" s="27"/>
      <c r="W14" s="27"/>
      <c r="X14" s="27"/>
      <c r="Y14" s="27"/>
      <c r="Z14" s="27"/>
      <c r="AA14" s="27"/>
      <c r="AB14" s="27"/>
      <c r="AC14" s="27"/>
      <c r="AD14" s="27"/>
      <c r="AE14" s="27"/>
      <c r="AF14" s="27"/>
      <c r="AG14" s="27"/>
      <c r="AH14" s="27"/>
      <c r="AI14" s="27"/>
      <c r="AJ14" s="27"/>
      <c r="AK14" s="27"/>
    </row>
    <row r="15" spans="2:37" ht="29.25" customHeight="1">
      <c r="B15" s="43">
        <f t="shared" si="2"/>
        <v>3</v>
      </c>
      <c r="C15" s="716" t="s">
        <v>286</v>
      </c>
      <c r="D15" s="618"/>
      <c r="E15" s="25">
        <v>45020</v>
      </c>
      <c r="F15" s="636" t="s">
        <v>289</v>
      </c>
      <c r="G15" s="637"/>
      <c r="H15" s="638"/>
      <c r="I15" s="27"/>
      <c r="J15" s="27"/>
      <c r="K15" s="27"/>
      <c r="L15" s="27"/>
      <c r="M15" s="27"/>
      <c r="N15" s="27"/>
      <c r="O15" s="27"/>
      <c r="P15" s="27"/>
      <c r="Q15" s="78"/>
      <c r="R15" s="27"/>
      <c r="S15" s="27"/>
      <c r="T15" s="27"/>
      <c r="U15" s="27"/>
      <c r="V15" s="27"/>
      <c r="W15" s="27"/>
      <c r="X15" s="27"/>
      <c r="Y15" s="27"/>
      <c r="Z15" s="27"/>
      <c r="AA15" s="27"/>
      <c r="AB15" s="27"/>
      <c r="AC15" s="27"/>
      <c r="AD15" s="27"/>
      <c r="AE15" s="27"/>
      <c r="AF15" s="27"/>
      <c r="AG15" s="27"/>
      <c r="AH15" s="27"/>
      <c r="AI15" s="27"/>
      <c r="AJ15" s="27"/>
      <c r="AK15" s="27"/>
    </row>
    <row r="16" spans="2:37" ht="29.25" customHeight="1">
      <c r="B16" s="43">
        <f t="shared" si="2"/>
        <v>4</v>
      </c>
      <c r="C16" s="716" t="s">
        <v>287</v>
      </c>
      <c r="D16" s="618"/>
      <c r="E16" s="25" t="s">
        <v>288</v>
      </c>
      <c r="F16" s="636"/>
      <c r="G16" s="637"/>
      <c r="H16" s="638"/>
      <c r="I16" s="27"/>
      <c r="J16" s="27"/>
      <c r="K16" s="27"/>
      <c r="L16" s="27"/>
      <c r="M16" s="27"/>
      <c r="N16" s="27"/>
      <c r="O16" s="27"/>
      <c r="P16" s="27"/>
      <c r="Q16" s="78"/>
      <c r="R16" s="78"/>
      <c r="S16" s="27"/>
      <c r="T16" s="27"/>
      <c r="U16" s="27"/>
      <c r="V16" s="27"/>
      <c r="W16" s="27"/>
      <c r="X16" s="27"/>
      <c r="Y16" s="27"/>
      <c r="Z16" s="27"/>
      <c r="AA16" s="27"/>
      <c r="AB16" s="27"/>
      <c r="AC16" s="27"/>
      <c r="AD16" s="27"/>
      <c r="AE16" s="27"/>
      <c r="AF16" s="27"/>
      <c r="AG16" s="27"/>
      <c r="AH16" s="27"/>
      <c r="AI16" s="27"/>
      <c r="AJ16" s="27"/>
      <c r="AK16" s="27"/>
    </row>
    <row r="17" spans="2:37" ht="29.25" customHeight="1">
      <c r="B17" s="43">
        <f t="shared" si="2"/>
        <v>5</v>
      </c>
      <c r="C17" s="716" t="s">
        <v>196</v>
      </c>
      <c r="D17" s="618"/>
      <c r="E17" s="25" t="s">
        <v>197</v>
      </c>
      <c r="F17" s="636" t="s">
        <v>198</v>
      </c>
      <c r="G17" s="637"/>
      <c r="H17" s="638"/>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row>
    <row r="18" spans="2:37" ht="29.25" customHeight="1">
      <c r="B18" s="43">
        <f t="shared" si="2"/>
        <v>6</v>
      </c>
      <c r="C18" s="716" t="s">
        <v>199</v>
      </c>
      <c r="D18" s="618"/>
      <c r="E18" s="25"/>
      <c r="F18" s="636" t="s">
        <v>200</v>
      </c>
      <c r="G18" s="637"/>
      <c r="H18" s="638"/>
      <c r="I18" s="27"/>
      <c r="J18" s="27"/>
      <c r="K18" s="27"/>
      <c r="L18" s="27"/>
      <c r="M18" s="33" t="s">
        <v>165</v>
      </c>
      <c r="N18" s="27"/>
      <c r="O18" s="27"/>
      <c r="P18" s="27"/>
      <c r="Q18" s="27"/>
      <c r="R18" s="27"/>
      <c r="S18" s="27"/>
      <c r="T18" s="27"/>
      <c r="U18" s="27"/>
      <c r="V18" s="27"/>
      <c r="W18" s="27"/>
      <c r="X18" s="27"/>
      <c r="Y18" s="27"/>
      <c r="Z18" s="27"/>
      <c r="AA18" s="27"/>
      <c r="AB18" s="27"/>
      <c r="AC18" s="27"/>
      <c r="AD18" s="27"/>
      <c r="AE18" s="27"/>
      <c r="AF18" s="27"/>
      <c r="AG18" s="27"/>
      <c r="AH18" s="27"/>
      <c r="AI18" s="27"/>
      <c r="AJ18" s="27"/>
      <c r="AK18" s="27"/>
    </row>
    <row r="19" spans="2:37" ht="29.25" customHeight="1">
      <c r="B19" s="43">
        <f t="shared" si="2"/>
        <v>7</v>
      </c>
      <c r="C19" s="518" t="s">
        <v>109</v>
      </c>
      <c r="D19" s="518"/>
      <c r="E19" s="25" t="s">
        <v>288</v>
      </c>
      <c r="F19" s="596" t="s">
        <v>290</v>
      </c>
      <c r="G19" s="593"/>
      <c r="H19" s="593"/>
      <c r="I19" s="27"/>
      <c r="J19" s="27"/>
      <c r="K19" s="27"/>
      <c r="L19" s="27"/>
      <c r="M19" s="27"/>
      <c r="N19" s="27"/>
      <c r="O19" s="27"/>
      <c r="P19" s="27"/>
      <c r="Q19" s="26"/>
      <c r="R19" s="26"/>
      <c r="S19" s="33" t="s">
        <v>165</v>
      </c>
      <c r="T19" s="79" t="s">
        <v>322</v>
      </c>
      <c r="U19" s="27"/>
      <c r="V19" s="27"/>
      <c r="W19" s="27"/>
      <c r="X19" s="27"/>
      <c r="Y19" s="27"/>
      <c r="Z19" s="27"/>
      <c r="AA19" s="27"/>
      <c r="AB19" s="27"/>
      <c r="AC19" s="27"/>
      <c r="AD19" s="27"/>
      <c r="AE19" s="27"/>
      <c r="AF19" s="27"/>
      <c r="AG19" s="27"/>
      <c r="AH19" s="27"/>
      <c r="AI19" s="27"/>
      <c r="AJ19" s="27"/>
      <c r="AK19" s="27"/>
    </row>
    <row r="20" spans="2:37" ht="29.25" customHeight="1">
      <c r="B20" s="43">
        <f t="shared" ref="B20:B27" si="3">+B19+1</f>
        <v>8</v>
      </c>
      <c r="C20" s="518" t="s">
        <v>110</v>
      </c>
      <c r="D20" s="518"/>
      <c r="E20" s="25">
        <v>45021</v>
      </c>
      <c r="F20" s="593" t="s">
        <v>216</v>
      </c>
      <c r="G20" s="593"/>
      <c r="H20" s="593"/>
      <c r="I20" s="27"/>
      <c r="J20" s="27"/>
      <c r="K20" s="27"/>
      <c r="L20" s="27"/>
      <c r="M20" s="27"/>
      <c r="N20" s="27"/>
      <c r="O20" s="27"/>
      <c r="P20" s="27"/>
      <c r="Q20" s="27"/>
      <c r="R20" s="33" t="s">
        <v>165</v>
      </c>
      <c r="S20" s="33" t="s">
        <v>165</v>
      </c>
      <c r="T20" s="27"/>
      <c r="U20" s="27"/>
      <c r="V20" s="27"/>
      <c r="W20" s="27"/>
      <c r="X20" s="27"/>
      <c r="Y20" s="27"/>
      <c r="Z20" s="27"/>
      <c r="AA20" s="27" t="s">
        <v>331</v>
      </c>
      <c r="AB20" s="27"/>
      <c r="AC20" s="27"/>
      <c r="AD20" s="27"/>
      <c r="AE20" s="27"/>
      <c r="AF20" s="27"/>
      <c r="AG20" s="27"/>
      <c r="AH20" s="27"/>
      <c r="AI20" s="27"/>
      <c r="AJ20" s="27"/>
      <c r="AK20" s="27"/>
    </row>
    <row r="21" spans="2:37" ht="29.25" customHeight="1">
      <c r="B21" s="43">
        <f t="shared" si="3"/>
        <v>9</v>
      </c>
      <c r="C21" s="518" t="s">
        <v>146</v>
      </c>
      <c r="D21" s="518"/>
      <c r="E21" s="25" t="s">
        <v>296</v>
      </c>
      <c r="F21" s="593" t="s">
        <v>291</v>
      </c>
      <c r="G21" s="593"/>
      <c r="H21" s="593"/>
      <c r="I21" s="27"/>
      <c r="J21" s="27"/>
      <c r="K21" s="27"/>
      <c r="L21" s="27"/>
      <c r="M21" s="27"/>
      <c r="N21" s="27"/>
      <c r="O21" s="27"/>
      <c r="P21" s="27"/>
      <c r="Q21" s="27"/>
      <c r="R21" s="27"/>
      <c r="S21" s="27"/>
      <c r="T21" s="33" t="s">
        <v>165</v>
      </c>
      <c r="U21" s="73" t="s">
        <v>330</v>
      </c>
      <c r="V21" s="27"/>
      <c r="W21" s="73" t="s">
        <v>329</v>
      </c>
      <c r="X21" s="26"/>
      <c r="Y21" s="33" t="s">
        <v>112</v>
      </c>
      <c r="Z21" s="33" t="s">
        <v>112</v>
      </c>
      <c r="AA21" s="33" t="s">
        <v>112</v>
      </c>
      <c r="AB21" s="27"/>
      <c r="AC21" s="27"/>
      <c r="AD21" s="27"/>
      <c r="AE21" s="27"/>
      <c r="AF21" s="27"/>
      <c r="AG21" s="27"/>
      <c r="AH21" s="27"/>
      <c r="AI21" s="27"/>
      <c r="AJ21" s="27"/>
      <c r="AK21" s="27"/>
    </row>
    <row r="22" spans="2:37" ht="29.25" customHeight="1">
      <c r="B22" s="43">
        <f t="shared" si="3"/>
        <v>10</v>
      </c>
      <c r="C22" s="518" t="s">
        <v>169</v>
      </c>
      <c r="D22" s="518"/>
      <c r="E22" s="25" t="s">
        <v>294</v>
      </c>
      <c r="F22" s="593" t="s">
        <v>292</v>
      </c>
      <c r="G22" s="593"/>
      <c r="H22" s="593"/>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row>
    <row r="23" spans="2:37" ht="29.25" customHeight="1">
      <c r="B23" s="43">
        <f t="shared" si="3"/>
        <v>11</v>
      </c>
      <c r="C23" s="518" t="s">
        <v>109</v>
      </c>
      <c r="D23" s="518"/>
      <c r="E23" s="25" t="s">
        <v>293</v>
      </c>
      <c r="F23" s="593" t="s">
        <v>149</v>
      </c>
      <c r="G23" s="593"/>
      <c r="H23" s="593"/>
      <c r="I23" s="27"/>
      <c r="J23" s="27"/>
      <c r="K23" s="27"/>
      <c r="L23" s="27"/>
      <c r="M23" s="27"/>
      <c r="N23" s="27"/>
      <c r="O23" s="27"/>
      <c r="P23" s="27"/>
      <c r="Q23" s="33" t="s">
        <v>165</v>
      </c>
      <c r="R23" s="33" t="s">
        <v>165</v>
      </c>
      <c r="S23" s="33" t="s">
        <v>165</v>
      </c>
      <c r="T23" s="33" t="s">
        <v>165</v>
      </c>
      <c r="U23" s="26"/>
      <c r="V23" s="27"/>
      <c r="W23" s="27"/>
      <c r="X23" s="27"/>
      <c r="Y23" s="27"/>
      <c r="Z23" s="27"/>
      <c r="AA23" s="27"/>
      <c r="AB23" s="27"/>
      <c r="AC23" s="27"/>
      <c r="AD23" s="27"/>
      <c r="AE23" s="27"/>
      <c r="AF23" s="27"/>
      <c r="AG23" s="27"/>
      <c r="AH23" s="27"/>
      <c r="AI23" s="27"/>
      <c r="AJ23" s="27"/>
      <c r="AK23" s="27"/>
    </row>
    <row r="24" spans="2:37" ht="29.25" customHeight="1">
      <c r="B24" s="43">
        <f t="shared" si="3"/>
        <v>12</v>
      </c>
      <c r="C24" s="518" t="s">
        <v>134</v>
      </c>
      <c r="D24" s="518"/>
      <c r="E24" s="25"/>
      <c r="F24" s="593" t="s">
        <v>157</v>
      </c>
      <c r="G24" s="593"/>
      <c r="H24" s="593"/>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row>
    <row r="25" spans="2:37" ht="29.25" customHeight="1">
      <c r="B25" s="43">
        <f t="shared" si="3"/>
        <v>13</v>
      </c>
      <c r="C25" s="518" t="s">
        <v>152</v>
      </c>
      <c r="D25" s="518"/>
      <c r="E25" s="25" t="s">
        <v>295</v>
      </c>
      <c r="F25" s="593"/>
      <c r="G25" s="593"/>
      <c r="H25" s="593"/>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row>
    <row r="26" spans="2:37" ht="29.25" customHeight="1">
      <c r="B26" s="43">
        <f t="shared" si="3"/>
        <v>14</v>
      </c>
      <c r="C26" s="518" t="s">
        <v>161</v>
      </c>
      <c r="D26" s="518"/>
      <c r="E26" s="25" t="s">
        <v>154</v>
      </c>
      <c r="F26" s="593" t="s">
        <v>153</v>
      </c>
      <c r="G26" s="593"/>
      <c r="H26" s="593"/>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row>
    <row r="27" spans="2:37" ht="29.25" customHeight="1">
      <c r="B27" s="43">
        <f t="shared" si="3"/>
        <v>15</v>
      </c>
      <c r="C27" s="518" t="s">
        <v>155</v>
      </c>
      <c r="D27" s="518"/>
      <c r="E27" s="25" t="s">
        <v>297</v>
      </c>
      <c r="F27" s="593"/>
      <c r="G27" s="593"/>
      <c r="H27" s="593"/>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row>
    <row r="30" spans="2:37">
      <c r="C30" s="77"/>
    </row>
    <row r="31" spans="2:37">
      <c r="C31" s="77"/>
      <c r="D31" s="77"/>
      <c r="E31" s="77"/>
    </row>
    <row r="34" ht="20.100000000000001" customHeight="1"/>
    <row r="35" ht="20.100000000000001" customHeight="1"/>
    <row r="36" ht="20.100000000000001" customHeight="1"/>
  </sheetData>
  <mergeCells count="39">
    <mergeCell ref="B5:B7"/>
    <mergeCell ref="C5:C7"/>
    <mergeCell ref="C26:D26"/>
    <mergeCell ref="F26:H26"/>
    <mergeCell ref="C27:D27"/>
    <mergeCell ref="F27:H27"/>
    <mergeCell ref="C15:D15"/>
    <mergeCell ref="C16:D16"/>
    <mergeCell ref="F15:H15"/>
    <mergeCell ref="F16:H16"/>
    <mergeCell ref="F18:H18"/>
    <mergeCell ref="C18:D18"/>
    <mergeCell ref="C23:D23"/>
    <mergeCell ref="F23:H23"/>
    <mergeCell ref="C24:D24"/>
    <mergeCell ref="F24:H24"/>
    <mergeCell ref="C25:D25"/>
    <mergeCell ref="F25:H25"/>
    <mergeCell ref="C20:D20"/>
    <mergeCell ref="F20:H20"/>
    <mergeCell ref="C21:D21"/>
    <mergeCell ref="F21:H21"/>
    <mergeCell ref="C22:D22"/>
    <mergeCell ref="F22:H22"/>
    <mergeCell ref="C19:D19"/>
    <mergeCell ref="F19:H19"/>
    <mergeCell ref="C17:D17"/>
    <mergeCell ref="F17:H17"/>
    <mergeCell ref="C12:D12"/>
    <mergeCell ref="F12:H12"/>
    <mergeCell ref="C13:D13"/>
    <mergeCell ref="F13:H13"/>
    <mergeCell ref="C14:D14"/>
    <mergeCell ref="F14:H14"/>
    <mergeCell ref="B3:B4"/>
    <mergeCell ref="C3:C4"/>
    <mergeCell ref="D3:D4"/>
    <mergeCell ref="E3:E4"/>
    <mergeCell ref="F3:M3"/>
  </mergeCells>
  <phoneticPr fontId="1" type="noConversion"/>
  <pageMargins left="0.7" right="0.7" top="0.75" bottom="0.75" header="0.3" footer="0.3"/>
  <pageSetup paperSize="9" orientation="portrait"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FFC000"/>
  </sheetPr>
  <dimension ref="B2:Y35"/>
  <sheetViews>
    <sheetView showGridLines="0" topLeftCell="F1" zoomScaleNormal="100" workbookViewId="0">
      <selection activeCell="M53" sqref="M53"/>
    </sheetView>
  </sheetViews>
  <sheetFormatPr defaultRowHeight="16.5"/>
  <cols>
    <col min="1" max="1" width="3.75" customWidth="1"/>
    <col min="4" max="5" width="23.625" customWidth="1"/>
    <col min="6" max="13" width="11.25" customWidth="1"/>
    <col min="14" max="25" width="9.75" customWidth="1"/>
  </cols>
  <sheetData>
    <row r="2" spans="2:25" ht="20.25">
      <c r="B2" s="2" t="s">
        <v>358</v>
      </c>
    </row>
    <row r="3" spans="2:25" ht="24.95" customHeight="1">
      <c r="B3" s="717" t="s">
        <v>100</v>
      </c>
      <c r="C3" s="719" t="s">
        <v>99</v>
      </c>
      <c r="D3" s="719" t="s">
        <v>306</v>
      </c>
      <c r="E3" s="719" t="s">
        <v>307</v>
      </c>
      <c r="F3" s="719" t="s">
        <v>106</v>
      </c>
      <c r="G3" s="719"/>
      <c r="H3" s="719"/>
      <c r="I3" s="719"/>
      <c r="J3" s="719"/>
      <c r="K3" s="719"/>
      <c r="L3" s="719"/>
      <c r="M3" s="722"/>
    </row>
    <row r="4" spans="2:25" ht="24.95" customHeight="1">
      <c r="B4" s="718"/>
      <c r="C4" s="720"/>
      <c r="D4" s="720"/>
      <c r="E4" s="721"/>
      <c r="F4" s="68" t="s">
        <v>113</v>
      </c>
      <c r="G4" s="68" t="s">
        <v>66</v>
      </c>
      <c r="H4" s="68" t="s">
        <v>107</v>
      </c>
      <c r="I4" s="68" t="s">
        <v>108</v>
      </c>
      <c r="J4" s="68" t="s">
        <v>109</v>
      </c>
      <c r="K4" s="68" t="s">
        <v>110</v>
      </c>
      <c r="L4" s="68" t="s">
        <v>111</v>
      </c>
      <c r="M4" s="58" t="s">
        <v>134</v>
      </c>
    </row>
    <row r="5" spans="2:25" ht="24.95" customHeight="1">
      <c r="B5" s="723" t="s">
        <v>341</v>
      </c>
      <c r="C5" s="723" t="s">
        <v>340</v>
      </c>
      <c r="D5" s="69" t="s">
        <v>317</v>
      </c>
      <c r="E5" s="66" t="s">
        <v>316</v>
      </c>
      <c r="F5" s="67" t="s">
        <v>112</v>
      </c>
      <c r="G5" s="75" t="s">
        <v>112</v>
      </c>
      <c r="H5" s="75" t="s">
        <v>112</v>
      </c>
      <c r="I5" s="75" t="s">
        <v>112</v>
      </c>
      <c r="J5" s="67"/>
      <c r="K5" s="60"/>
      <c r="L5" s="67"/>
      <c r="M5" s="10"/>
    </row>
    <row r="6" spans="2:25" ht="24.95" customHeight="1">
      <c r="B6" s="723"/>
      <c r="C6" s="723"/>
      <c r="D6" s="74" t="s">
        <v>338</v>
      </c>
      <c r="E6" s="76" t="s">
        <v>336</v>
      </c>
      <c r="F6" s="67" t="s">
        <v>112</v>
      </c>
      <c r="G6" s="75" t="s">
        <v>112</v>
      </c>
      <c r="H6" s="75" t="s">
        <v>112</v>
      </c>
      <c r="I6" s="75" t="s">
        <v>112</v>
      </c>
      <c r="J6" s="67"/>
      <c r="K6" s="60"/>
      <c r="L6" s="67"/>
      <c r="M6" s="75" t="s">
        <v>112</v>
      </c>
      <c r="N6" s="61" t="s">
        <v>302</v>
      </c>
    </row>
    <row r="7" spans="2:25" ht="24.95" customHeight="1">
      <c r="B7" s="723"/>
      <c r="C7" s="723"/>
      <c r="D7" s="74" t="s">
        <v>339</v>
      </c>
      <c r="E7" s="76" t="s">
        <v>337</v>
      </c>
      <c r="F7" s="59" t="s">
        <v>112</v>
      </c>
      <c r="G7" s="59" t="s">
        <v>112</v>
      </c>
      <c r="H7" s="59" t="s">
        <v>112</v>
      </c>
      <c r="I7" s="75" t="s">
        <v>112</v>
      </c>
      <c r="J7" s="67"/>
      <c r="K7" s="60"/>
      <c r="L7" s="59"/>
      <c r="M7" s="75" t="s">
        <v>112</v>
      </c>
      <c r="N7" s="61" t="s">
        <v>302</v>
      </c>
    </row>
    <row r="8" spans="2:25">
      <c r="B8" t="s">
        <v>136</v>
      </c>
      <c r="M8" t="s">
        <v>215</v>
      </c>
    </row>
    <row r="9" spans="2:25">
      <c r="B9" t="s">
        <v>137</v>
      </c>
    </row>
    <row r="11" spans="2:25" ht="20.25">
      <c r="B11" s="2" t="s">
        <v>160</v>
      </c>
    </row>
    <row r="12" spans="2:25" ht="24.95" customHeight="1">
      <c r="B12" s="62" t="s">
        <v>138</v>
      </c>
      <c r="C12" s="642" t="s">
        <v>15</v>
      </c>
      <c r="D12" s="642"/>
      <c r="E12" s="62" t="s">
        <v>140</v>
      </c>
      <c r="F12" s="642" t="s">
        <v>4</v>
      </c>
      <c r="G12" s="642"/>
      <c r="H12" s="642"/>
      <c r="I12" s="29">
        <v>45023</v>
      </c>
      <c r="J12" s="29">
        <f>+I12+1</f>
        <v>45024</v>
      </c>
      <c r="K12" s="28">
        <f t="shared" ref="K12:R12" si="0">+J12+1</f>
        <v>45025</v>
      </c>
      <c r="L12" s="29">
        <f t="shared" si="0"/>
        <v>45026</v>
      </c>
      <c r="M12" s="29">
        <f t="shared" si="0"/>
        <v>45027</v>
      </c>
      <c r="N12" s="29">
        <f t="shared" si="0"/>
        <v>45028</v>
      </c>
      <c r="O12" s="29">
        <f t="shared" si="0"/>
        <v>45029</v>
      </c>
      <c r="P12" s="29">
        <f t="shared" si="0"/>
        <v>45030</v>
      </c>
      <c r="Q12" s="29">
        <f t="shared" si="0"/>
        <v>45031</v>
      </c>
      <c r="R12" s="28">
        <f t="shared" si="0"/>
        <v>45032</v>
      </c>
      <c r="S12" s="29">
        <f t="shared" ref="S12:Y12" si="1">+R12+1</f>
        <v>45033</v>
      </c>
      <c r="T12" s="29">
        <f t="shared" si="1"/>
        <v>45034</v>
      </c>
      <c r="U12" s="29">
        <f t="shared" si="1"/>
        <v>45035</v>
      </c>
      <c r="V12" s="29">
        <f t="shared" si="1"/>
        <v>45036</v>
      </c>
      <c r="W12" s="29">
        <f t="shared" si="1"/>
        <v>45037</v>
      </c>
      <c r="X12" s="29">
        <f t="shared" si="1"/>
        <v>45038</v>
      </c>
      <c r="Y12" s="28">
        <f t="shared" si="1"/>
        <v>45039</v>
      </c>
    </row>
    <row r="13" spans="2:25" ht="33" customHeight="1">
      <c r="B13" s="63">
        <v>1</v>
      </c>
      <c r="C13" s="518" t="s">
        <v>158</v>
      </c>
      <c r="D13" s="518"/>
      <c r="E13" s="25"/>
      <c r="F13" s="596" t="s">
        <v>282</v>
      </c>
      <c r="G13" s="593"/>
      <c r="H13" s="593"/>
      <c r="I13" s="27"/>
      <c r="J13" s="33" t="s">
        <v>332</v>
      </c>
      <c r="K13" s="27"/>
      <c r="L13" s="27"/>
      <c r="M13" s="27"/>
      <c r="N13" s="27"/>
      <c r="O13" s="27"/>
      <c r="P13" s="27"/>
      <c r="Q13" s="27"/>
      <c r="R13" s="27"/>
      <c r="S13" s="27"/>
      <c r="T13" s="27"/>
      <c r="U13" s="27"/>
      <c r="V13" s="27"/>
      <c r="W13" s="27"/>
      <c r="X13" s="27"/>
      <c r="Y13" s="27"/>
    </row>
    <row r="14" spans="2:25" ht="29.25" customHeight="1">
      <c r="B14" s="63">
        <f>+B13+1</f>
        <v>2</v>
      </c>
      <c r="C14" s="518" t="s">
        <v>142</v>
      </c>
      <c r="D14" s="518"/>
      <c r="E14" s="25"/>
      <c r="F14" s="593" t="s">
        <v>285</v>
      </c>
      <c r="G14" s="593"/>
      <c r="H14" s="593"/>
      <c r="I14" s="27"/>
      <c r="J14" s="33" t="s">
        <v>332</v>
      </c>
      <c r="K14" s="27"/>
      <c r="L14" s="27"/>
      <c r="M14" s="27"/>
      <c r="N14" s="27"/>
      <c r="O14" s="27"/>
      <c r="P14" s="27"/>
      <c r="Q14" s="27"/>
      <c r="R14" s="27"/>
      <c r="S14" s="27"/>
      <c r="T14" s="27"/>
      <c r="U14" s="27"/>
      <c r="V14" s="27"/>
      <c r="W14" s="27"/>
      <c r="X14" s="27"/>
      <c r="Y14" s="27"/>
    </row>
    <row r="15" spans="2:25" ht="29.25" customHeight="1">
      <c r="B15" s="63">
        <f>+B14+1</f>
        <v>3</v>
      </c>
      <c r="C15" s="716" t="s">
        <v>287</v>
      </c>
      <c r="D15" s="618"/>
      <c r="E15" s="25"/>
      <c r="F15" s="636"/>
      <c r="G15" s="637"/>
      <c r="H15" s="638"/>
      <c r="I15" s="27"/>
      <c r="J15" s="27"/>
      <c r="K15" s="27"/>
      <c r="L15" s="33" t="s">
        <v>332</v>
      </c>
      <c r="M15" s="27"/>
      <c r="N15" s="27"/>
      <c r="O15" s="27"/>
      <c r="P15" s="27"/>
      <c r="Q15" s="27"/>
      <c r="R15" s="27"/>
      <c r="S15" s="27"/>
      <c r="T15" s="27"/>
      <c r="U15" s="27"/>
      <c r="V15" s="27"/>
      <c r="W15" s="27"/>
      <c r="X15" s="27"/>
      <c r="Y15" s="27"/>
    </row>
    <row r="16" spans="2:25" ht="29.25" customHeight="1">
      <c r="B16" s="63">
        <f t="shared" ref="B16:B26" si="2">+B15+1</f>
        <v>4</v>
      </c>
      <c r="C16" s="716" t="s">
        <v>196</v>
      </c>
      <c r="D16" s="618"/>
      <c r="E16" s="25"/>
      <c r="F16" s="636" t="s">
        <v>198</v>
      </c>
      <c r="G16" s="637"/>
      <c r="H16" s="638"/>
      <c r="I16" s="27"/>
      <c r="J16" s="27"/>
      <c r="K16" s="27"/>
      <c r="L16" s="27"/>
      <c r="M16" s="33" t="s">
        <v>332</v>
      </c>
      <c r="N16" s="27"/>
      <c r="O16" s="27"/>
      <c r="P16" s="27"/>
      <c r="Q16" s="27"/>
      <c r="R16" s="27"/>
      <c r="S16" s="27"/>
      <c r="T16" s="27"/>
      <c r="U16" s="27"/>
      <c r="V16" s="27"/>
      <c r="W16" s="27"/>
      <c r="X16" s="27"/>
      <c r="Y16" s="27"/>
    </row>
    <row r="17" spans="2:25" ht="29.25" customHeight="1">
      <c r="B17" s="63">
        <f t="shared" si="2"/>
        <v>5</v>
      </c>
      <c r="C17" s="716" t="s">
        <v>199</v>
      </c>
      <c r="D17" s="618"/>
      <c r="E17" s="25"/>
      <c r="F17" s="636" t="s">
        <v>200</v>
      </c>
      <c r="G17" s="637"/>
      <c r="H17" s="638"/>
      <c r="I17" s="27"/>
      <c r="J17" s="27"/>
      <c r="K17" s="27"/>
      <c r="L17" s="27"/>
      <c r="M17" s="27"/>
      <c r="N17" s="27"/>
      <c r="O17" s="27"/>
      <c r="P17" s="27"/>
      <c r="Q17" s="27"/>
      <c r="R17" s="27"/>
      <c r="S17" s="27"/>
      <c r="T17" s="27"/>
      <c r="U17" s="27"/>
      <c r="V17" s="27"/>
      <c r="W17" s="27"/>
      <c r="X17" s="27"/>
      <c r="Y17" s="27"/>
    </row>
    <row r="18" spans="2:25" ht="29.25" customHeight="1">
      <c r="B18" s="63">
        <f t="shared" si="2"/>
        <v>6</v>
      </c>
      <c r="C18" s="518" t="s">
        <v>109</v>
      </c>
      <c r="D18" s="518"/>
      <c r="E18" s="25"/>
      <c r="F18" s="596" t="s">
        <v>290</v>
      </c>
      <c r="G18" s="593"/>
      <c r="H18" s="593"/>
      <c r="I18" s="27"/>
      <c r="J18" s="27"/>
      <c r="K18" s="27"/>
      <c r="L18" s="27"/>
      <c r="M18" s="27"/>
      <c r="N18" s="27"/>
      <c r="O18" s="33" t="s">
        <v>332</v>
      </c>
      <c r="P18" s="33" t="s">
        <v>332</v>
      </c>
      <c r="Q18" s="27"/>
      <c r="R18" s="27"/>
      <c r="S18" s="27"/>
      <c r="T18" s="27"/>
      <c r="U18" s="27"/>
      <c r="V18" s="27"/>
      <c r="W18" s="27"/>
      <c r="X18" s="27"/>
      <c r="Y18" s="27"/>
    </row>
    <row r="19" spans="2:25" ht="29.25" customHeight="1">
      <c r="B19" s="63">
        <f t="shared" si="2"/>
        <v>7</v>
      </c>
      <c r="C19" s="518" t="s">
        <v>110</v>
      </c>
      <c r="D19" s="518"/>
      <c r="E19" s="25"/>
      <c r="F19" s="593" t="s">
        <v>216</v>
      </c>
      <c r="G19" s="593"/>
      <c r="H19" s="593"/>
      <c r="I19" s="27"/>
      <c r="J19" s="27"/>
      <c r="K19" s="27"/>
      <c r="L19" s="27"/>
      <c r="M19" s="27"/>
      <c r="N19" s="27"/>
      <c r="O19" s="27"/>
      <c r="P19" s="27"/>
      <c r="Q19" s="27"/>
      <c r="R19" s="27"/>
      <c r="S19" s="27"/>
      <c r="T19" s="27"/>
      <c r="U19" s="27"/>
      <c r="V19" s="27"/>
      <c r="W19" s="27"/>
      <c r="X19" s="27"/>
      <c r="Y19" s="27"/>
    </row>
    <row r="20" spans="2:25" ht="29.25" customHeight="1">
      <c r="B20" s="63">
        <f t="shared" si="2"/>
        <v>8</v>
      </c>
      <c r="C20" s="518" t="s">
        <v>146</v>
      </c>
      <c r="D20" s="518"/>
      <c r="E20" s="25"/>
      <c r="F20" s="593" t="s">
        <v>291</v>
      </c>
      <c r="G20" s="593"/>
      <c r="H20" s="593"/>
      <c r="I20" s="27"/>
      <c r="J20" s="27"/>
      <c r="K20" s="27"/>
      <c r="L20" s="27"/>
      <c r="M20" s="27"/>
      <c r="N20" s="27"/>
      <c r="O20" s="27"/>
      <c r="P20" s="27"/>
      <c r="Q20" s="27"/>
      <c r="R20" s="27"/>
      <c r="S20" s="27"/>
      <c r="T20" s="26"/>
      <c r="U20" s="26"/>
      <c r="V20" s="26"/>
      <c r="W20" s="26"/>
      <c r="X20" s="26"/>
      <c r="Y20" s="26"/>
    </row>
    <row r="21" spans="2:25" ht="29.25" customHeight="1">
      <c r="B21" s="63">
        <f t="shared" si="2"/>
        <v>9</v>
      </c>
      <c r="C21" s="518" t="s">
        <v>169</v>
      </c>
      <c r="D21" s="518"/>
      <c r="E21" s="25"/>
      <c r="F21" s="593" t="s">
        <v>292</v>
      </c>
      <c r="G21" s="593"/>
      <c r="H21" s="593"/>
      <c r="I21" s="27"/>
      <c r="J21" s="27"/>
      <c r="K21" s="27"/>
      <c r="L21" s="27"/>
      <c r="M21" s="27"/>
      <c r="N21" s="27"/>
      <c r="O21" s="27"/>
      <c r="P21" s="27"/>
      <c r="Q21" s="27"/>
      <c r="R21" s="27"/>
      <c r="S21" s="27"/>
      <c r="T21" s="26"/>
      <c r="U21" s="26"/>
      <c r="V21" s="26"/>
      <c r="W21" s="26"/>
      <c r="X21" s="26"/>
      <c r="Y21" s="26"/>
    </row>
    <row r="22" spans="2:25" ht="29.25" customHeight="1">
      <c r="B22" s="63">
        <f t="shared" si="2"/>
        <v>10</v>
      </c>
      <c r="C22" s="518" t="s">
        <v>109</v>
      </c>
      <c r="D22" s="518"/>
      <c r="E22" s="25"/>
      <c r="F22" s="593" t="s">
        <v>149</v>
      </c>
      <c r="G22" s="593"/>
      <c r="H22" s="593"/>
      <c r="I22" s="27"/>
      <c r="J22" s="27"/>
      <c r="K22" s="27"/>
      <c r="L22" s="27"/>
      <c r="M22" s="27"/>
      <c r="N22" s="27"/>
      <c r="O22" s="27"/>
      <c r="P22" s="27"/>
      <c r="Q22" s="27"/>
      <c r="R22" s="27"/>
      <c r="S22" s="27"/>
      <c r="T22" s="27"/>
      <c r="U22" s="27"/>
      <c r="V22" s="27"/>
      <c r="W22" s="27"/>
      <c r="X22" s="27"/>
      <c r="Y22" s="27"/>
    </row>
    <row r="23" spans="2:25" ht="29.25" customHeight="1">
      <c r="B23" s="63">
        <f t="shared" si="2"/>
        <v>11</v>
      </c>
      <c r="C23" s="518" t="s">
        <v>134</v>
      </c>
      <c r="D23" s="518"/>
      <c r="E23" s="25"/>
      <c r="F23" s="593" t="s">
        <v>157</v>
      </c>
      <c r="G23" s="593"/>
      <c r="H23" s="593"/>
      <c r="I23" s="27"/>
      <c r="J23" s="27"/>
      <c r="K23" s="27"/>
      <c r="L23" s="27"/>
      <c r="M23" s="27"/>
      <c r="N23" s="27"/>
      <c r="O23" s="27"/>
      <c r="P23" s="27"/>
      <c r="Q23" s="27"/>
      <c r="R23" s="27"/>
      <c r="S23" s="27"/>
      <c r="T23" s="27"/>
      <c r="U23" s="27"/>
      <c r="V23" s="27"/>
      <c r="W23" s="27"/>
      <c r="X23" s="27"/>
      <c r="Y23" s="27"/>
    </row>
    <row r="24" spans="2:25" ht="29.25" customHeight="1">
      <c r="B24" s="63">
        <f t="shared" si="2"/>
        <v>12</v>
      </c>
      <c r="C24" s="518" t="s">
        <v>152</v>
      </c>
      <c r="D24" s="518"/>
      <c r="E24" s="25"/>
      <c r="F24" s="593"/>
      <c r="G24" s="593"/>
      <c r="H24" s="593"/>
      <c r="I24" s="27"/>
      <c r="J24" s="27"/>
      <c r="K24" s="27"/>
      <c r="L24" s="27"/>
      <c r="M24" s="27"/>
      <c r="N24" s="27"/>
      <c r="O24" s="27"/>
      <c r="P24" s="27"/>
      <c r="Q24" s="27"/>
      <c r="R24" s="27"/>
      <c r="S24" s="27"/>
      <c r="T24" s="27"/>
      <c r="U24" s="27"/>
      <c r="V24" s="27"/>
      <c r="W24" s="27"/>
      <c r="X24" s="27"/>
      <c r="Y24" s="27"/>
    </row>
    <row r="25" spans="2:25" ht="29.25" customHeight="1">
      <c r="B25" s="63">
        <f t="shared" si="2"/>
        <v>13</v>
      </c>
      <c r="C25" s="518" t="s">
        <v>161</v>
      </c>
      <c r="D25" s="518"/>
      <c r="E25" s="25"/>
      <c r="F25" s="593" t="s">
        <v>153</v>
      </c>
      <c r="G25" s="593"/>
      <c r="H25" s="593"/>
      <c r="I25" s="27"/>
      <c r="J25" s="27"/>
      <c r="K25" s="27"/>
      <c r="L25" s="27"/>
      <c r="M25" s="27"/>
      <c r="N25" s="27"/>
      <c r="O25" s="27"/>
      <c r="P25" s="27"/>
      <c r="Q25" s="27"/>
      <c r="R25" s="27"/>
      <c r="S25" s="27"/>
      <c r="T25" s="27"/>
      <c r="U25" s="27"/>
      <c r="V25" s="27"/>
      <c r="W25" s="27"/>
      <c r="X25" s="27"/>
      <c r="Y25" s="27"/>
    </row>
    <row r="26" spans="2:25" ht="29.25" customHeight="1">
      <c r="B26" s="63">
        <f t="shared" si="2"/>
        <v>14</v>
      </c>
      <c r="C26" s="518" t="s">
        <v>155</v>
      </c>
      <c r="D26" s="518"/>
      <c r="E26" s="25"/>
      <c r="F26" s="593"/>
      <c r="G26" s="593"/>
      <c r="H26" s="593"/>
      <c r="I26" s="27"/>
      <c r="J26" s="27"/>
      <c r="K26" s="27"/>
      <c r="L26" s="27"/>
      <c r="M26" s="27"/>
      <c r="N26" s="27"/>
      <c r="O26" s="27"/>
      <c r="P26" s="27"/>
      <c r="Q26" s="27"/>
      <c r="R26" s="27"/>
      <c r="S26" s="27"/>
      <c r="T26" s="27"/>
      <c r="U26" s="27"/>
      <c r="V26" s="27"/>
      <c r="W26" s="27"/>
      <c r="X26" s="27"/>
      <c r="Y26" s="27"/>
    </row>
    <row r="33" ht="20.100000000000001" customHeight="1"/>
    <row r="34" ht="20.100000000000001" customHeight="1"/>
    <row r="35" ht="20.100000000000001" customHeight="1"/>
  </sheetData>
  <mergeCells count="37">
    <mergeCell ref="C26:D26"/>
    <mergeCell ref="F26:H26"/>
    <mergeCell ref="C23:D23"/>
    <mergeCell ref="F23:H23"/>
    <mergeCell ref="C24:D24"/>
    <mergeCell ref="F24:H24"/>
    <mergeCell ref="C25:D25"/>
    <mergeCell ref="F25:H25"/>
    <mergeCell ref="C20:D20"/>
    <mergeCell ref="F20:H20"/>
    <mergeCell ref="C21:D21"/>
    <mergeCell ref="F21:H21"/>
    <mergeCell ref="C22:D22"/>
    <mergeCell ref="F22:H22"/>
    <mergeCell ref="C17:D17"/>
    <mergeCell ref="F17:H17"/>
    <mergeCell ref="C18:D18"/>
    <mergeCell ref="F18:H18"/>
    <mergeCell ref="C19:D19"/>
    <mergeCell ref="F19:H19"/>
    <mergeCell ref="C14:D14"/>
    <mergeCell ref="F14:H14"/>
    <mergeCell ref="C15:D15"/>
    <mergeCell ref="F15:H15"/>
    <mergeCell ref="C16:D16"/>
    <mergeCell ref="F16:H16"/>
    <mergeCell ref="E3:E4"/>
    <mergeCell ref="F3:M3"/>
    <mergeCell ref="C12:D12"/>
    <mergeCell ref="F12:H12"/>
    <mergeCell ref="C13:D13"/>
    <mergeCell ref="F13:H13"/>
    <mergeCell ref="B5:B7"/>
    <mergeCell ref="C5:C7"/>
    <mergeCell ref="B3:B4"/>
    <mergeCell ref="C3:C4"/>
    <mergeCell ref="D3:D4"/>
  </mergeCells>
  <phoneticPr fontId="1" type="noConversion"/>
  <pageMargins left="0.7" right="0.7" top="0.75" bottom="0.75" header="0.3" footer="0.3"/>
  <pageSetup paperSize="9" orientation="portrait"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FFC000"/>
  </sheetPr>
  <dimension ref="B2:Y36"/>
  <sheetViews>
    <sheetView showGridLines="0" zoomScale="70" zoomScaleNormal="70" workbookViewId="0">
      <selection activeCell="I32" sqref="I32:I33"/>
    </sheetView>
  </sheetViews>
  <sheetFormatPr defaultRowHeight="16.5"/>
  <cols>
    <col min="1" max="1" width="3.75" customWidth="1"/>
    <col min="4" max="5" width="23.625" customWidth="1"/>
    <col min="6" max="7" width="11.25" customWidth="1"/>
    <col min="8" max="8" width="13" customWidth="1"/>
    <col min="9" max="13" width="11.25" customWidth="1"/>
    <col min="14" max="22" width="9.75" customWidth="1"/>
  </cols>
  <sheetData>
    <row r="2" spans="2:25" ht="20.25">
      <c r="B2" s="2" t="s">
        <v>357</v>
      </c>
    </row>
    <row r="3" spans="2:25" ht="24.95" customHeight="1">
      <c r="B3" s="717" t="s">
        <v>100</v>
      </c>
      <c r="C3" s="719" t="s">
        <v>99</v>
      </c>
      <c r="D3" s="719" t="s">
        <v>306</v>
      </c>
      <c r="E3" s="719" t="s">
        <v>307</v>
      </c>
      <c r="F3" s="719" t="s">
        <v>106</v>
      </c>
      <c r="G3" s="719"/>
      <c r="H3" s="719"/>
      <c r="I3" s="719"/>
      <c r="J3" s="719"/>
      <c r="K3" s="719"/>
      <c r="L3" s="719"/>
      <c r="M3" s="722"/>
    </row>
    <row r="4" spans="2:25" ht="24.95" customHeight="1">
      <c r="B4" s="718"/>
      <c r="C4" s="720"/>
      <c r="D4" s="720"/>
      <c r="E4" s="721"/>
      <c r="F4" s="68" t="s">
        <v>113</v>
      </c>
      <c r="G4" s="68" t="s">
        <v>66</v>
      </c>
      <c r="H4" s="68" t="s">
        <v>107</v>
      </c>
      <c r="I4" s="68" t="s">
        <v>108</v>
      </c>
      <c r="J4" s="68" t="s">
        <v>109</v>
      </c>
      <c r="K4" s="68" t="s">
        <v>110</v>
      </c>
      <c r="L4" s="68" t="s">
        <v>111</v>
      </c>
      <c r="M4" s="58" t="s">
        <v>134</v>
      </c>
    </row>
    <row r="5" spans="2:25" ht="24.95" customHeight="1">
      <c r="B5" s="723" t="s">
        <v>280</v>
      </c>
      <c r="C5" s="723" t="s">
        <v>98</v>
      </c>
      <c r="D5" s="69" t="s">
        <v>334</v>
      </c>
      <c r="E5" s="66"/>
      <c r="F5" s="67"/>
      <c r="G5" s="16"/>
      <c r="H5" s="16"/>
      <c r="I5" s="16"/>
      <c r="J5" s="67"/>
      <c r="K5" s="60"/>
      <c r="L5" s="67"/>
      <c r="M5" s="10"/>
    </row>
    <row r="6" spans="2:25" ht="24.95" customHeight="1">
      <c r="B6" s="723"/>
      <c r="C6" s="723"/>
      <c r="D6" s="69"/>
      <c r="E6" s="66"/>
      <c r="F6" s="67"/>
      <c r="G6" s="16"/>
      <c r="H6" s="16"/>
      <c r="I6" s="16"/>
      <c r="J6" s="67"/>
      <c r="K6" s="60"/>
      <c r="L6" s="67"/>
      <c r="M6" s="60"/>
      <c r="N6" s="61" t="s">
        <v>302</v>
      </c>
    </row>
    <row r="7" spans="2:25" ht="24.95" customHeight="1">
      <c r="B7" s="723"/>
      <c r="C7" s="723"/>
      <c r="D7" s="69"/>
      <c r="E7" s="70"/>
      <c r="F7" s="59"/>
      <c r="G7" s="60"/>
      <c r="H7" s="60"/>
      <c r="I7" s="60"/>
      <c r="J7" s="67"/>
      <c r="K7" s="60"/>
      <c r="L7" s="59"/>
      <c r="M7" s="60"/>
      <c r="N7" s="61" t="s">
        <v>302</v>
      </c>
    </row>
    <row r="8" spans="2:25">
      <c r="B8" t="s">
        <v>136</v>
      </c>
      <c r="M8" t="s">
        <v>215</v>
      </c>
    </row>
    <row r="9" spans="2:25">
      <c r="B9" t="s">
        <v>137</v>
      </c>
    </row>
    <row r="10" spans="2:25">
      <c r="B10" t="s">
        <v>335</v>
      </c>
    </row>
    <row r="11" spans="2:25" ht="20.25">
      <c r="B11" s="2" t="s">
        <v>160</v>
      </c>
    </row>
    <row r="12" spans="2:25" ht="24.95" customHeight="1">
      <c r="B12" s="62" t="s">
        <v>138</v>
      </c>
      <c r="C12" s="642" t="s">
        <v>15</v>
      </c>
      <c r="D12" s="642"/>
      <c r="E12" s="62" t="s">
        <v>140</v>
      </c>
      <c r="F12" s="642" t="s">
        <v>4</v>
      </c>
      <c r="G12" s="642"/>
      <c r="H12" s="642"/>
      <c r="I12" s="29">
        <v>45023</v>
      </c>
      <c r="J12" s="29">
        <f>+I12+1</f>
        <v>45024</v>
      </c>
      <c r="K12" s="28">
        <f t="shared" ref="K12:Y12" si="0">+J12+1</f>
        <v>45025</v>
      </c>
      <c r="L12" s="29">
        <f t="shared" si="0"/>
        <v>45026</v>
      </c>
      <c r="M12" s="29">
        <f t="shared" si="0"/>
        <v>45027</v>
      </c>
      <c r="N12" s="29">
        <f t="shared" si="0"/>
        <v>45028</v>
      </c>
      <c r="O12" s="29">
        <f t="shared" si="0"/>
        <v>45029</v>
      </c>
      <c r="P12" s="29">
        <f t="shared" si="0"/>
        <v>45030</v>
      </c>
      <c r="Q12" s="29">
        <f t="shared" si="0"/>
        <v>45031</v>
      </c>
      <c r="R12" s="28">
        <f t="shared" si="0"/>
        <v>45032</v>
      </c>
      <c r="S12" s="29">
        <f t="shared" si="0"/>
        <v>45033</v>
      </c>
      <c r="T12" s="29">
        <f t="shared" si="0"/>
        <v>45034</v>
      </c>
      <c r="U12" s="29">
        <f t="shared" si="0"/>
        <v>45035</v>
      </c>
      <c r="V12" s="29">
        <f t="shared" si="0"/>
        <v>45036</v>
      </c>
      <c r="W12" s="29">
        <f t="shared" si="0"/>
        <v>45037</v>
      </c>
      <c r="X12" s="29">
        <f t="shared" si="0"/>
        <v>45038</v>
      </c>
      <c r="Y12" s="28">
        <f t="shared" si="0"/>
        <v>45039</v>
      </c>
    </row>
    <row r="13" spans="2:25" ht="24.95" customHeight="1">
      <c r="B13" s="71">
        <v>1</v>
      </c>
      <c r="C13" s="518" t="s">
        <v>355</v>
      </c>
      <c r="D13" s="518"/>
      <c r="E13" s="81"/>
      <c r="F13" s="636" t="s">
        <v>289</v>
      </c>
      <c r="G13" s="637"/>
      <c r="H13" s="638"/>
      <c r="I13" s="27"/>
      <c r="J13" s="33" t="s">
        <v>344</v>
      </c>
      <c r="K13" s="27"/>
      <c r="L13" s="27"/>
      <c r="M13" s="27"/>
      <c r="N13" s="27"/>
      <c r="O13" s="27"/>
      <c r="P13" s="27"/>
      <c r="Q13" s="33" t="s">
        <v>112</v>
      </c>
      <c r="R13" s="27"/>
      <c r="S13" s="27"/>
      <c r="T13" s="27"/>
      <c r="U13" s="27"/>
      <c r="V13" s="27"/>
      <c r="W13" s="27"/>
      <c r="X13" s="27"/>
      <c r="Y13" s="27"/>
    </row>
    <row r="14" spans="2:25" ht="33" customHeight="1">
      <c r="B14" s="63">
        <f>+B13+1</f>
        <v>2</v>
      </c>
      <c r="C14" s="518" t="s">
        <v>158</v>
      </c>
      <c r="D14" s="518"/>
      <c r="E14" s="81">
        <v>45027</v>
      </c>
      <c r="F14" s="596" t="s">
        <v>282</v>
      </c>
      <c r="G14" s="593"/>
      <c r="H14" s="593"/>
      <c r="I14" s="27"/>
      <c r="J14" s="27"/>
      <c r="K14" s="27"/>
      <c r="L14" s="27"/>
      <c r="M14" s="33" t="s">
        <v>344</v>
      </c>
      <c r="N14" s="27"/>
      <c r="O14" s="27"/>
      <c r="P14" s="27"/>
      <c r="Q14" s="33" t="s">
        <v>112</v>
      </c>
      <c r="R14" s="27"/>
      <c r="S14" s="27"/>
      <c r="T14" s="27"/>
      <c r="U14" s="27"/>
      <c r="V14" s="27"/>
      <c r="W14" s="27"/>
      <c r="X14" s="27"/>
      <c r="Y14" s="27"/>
    </row>
    <row r="15" spans="2:25" ht="29.25" customHeight="1">
      <c r="B15" s="63">
        <f>+B14+1</f>
        <v>3</v>
      </c>
      <c r="C15" s="518" t="s">
        <v>142</v>
      </c>
      <c r="D15" s="518"/>
      <c r="E15" s="81" t="s">
        <v>346</v>
      </c>
      <c r="F15" s="593" t="s">
        <v>285</v>
      </c>
      <c r="G15" s="593"/>
      <c r="H15" s="593"/>
      <c r="I15" s="27"/>
      <c r="J15" s="27"/>
      <c r="K15" s="27"/>
      <c r="L15" s="27"/>
      <c r="M15" s="27"/>
      <c r="N15" s="27"/>
      <c r="O15" s="33" t="s">
        <v>112</v>
      </c>
      <c r="P15" s="27"/>
      <c r="Q15" s="27"/>
      <c r="R15" s="27"/>
      <c r="S15" s="27"/>
      <c r="T15" s="27"/>
      <c r="U15" s="27"/>
      <c r="V15" s="27"/>
      <c r="W15" s="27"/>
      <c r="X15" s="27"/>
      <c r="Y15" s="27"/>
    </row>
    <row r="16" spans="2:25" ht="29.25" customHeight="1">
      <c r="B16" s="63">
        <f t="shared" ref="B16:B27" si="1">+B15+1</f>
        <v>4</v>
      </c>
      <c r="C16" s="716" t="s">
        <v>345</v>
      </c>
      <c r="D16" s="618"/>
      <c r="E16" s="81">
        <v>45028</v>
      </c>
      <c r="F16" s="636" t="s">
        <v>289</v>
      </c>
      <c r="G16" s="637"/>
      <c r="H16" s="638"/>
      <c r="I16" s="27"/>
      <c r="J16" s="27"/>
      <c r="K16" s="27"/>
      <c r="L16" s="27"/>
      <c r="M16" s="27"/>
      <c r="N16" s="27"/>
      <c r="O16" s="27"/>
      <c r="P16" s="27"/>
      <c r="Q16" s="27"/>
      <c r="R16" s="27"/>
      <c r="S16" s="33" t="s">
        <v>112</v>
      </c>
      <c r="T16" s="27"/>
      <c r="U16" s="27"/>
      <c r="V16" s="27"/>
      <c r="W16" s="27"/>
      <c r="X16" s="27"/>
      <c r="Y16" s="27"/>
    </row>
    <row r="17" spans="2:25" ht="29.25" customHeight="1">
      <c r="B17" s="63">
        <f t="shared" si="1"/>
        <v>5</v>
      </c>
      <c r="C17" s="716" t="s">
        <v>287</v>
      </c>
      <c r="D17" s="618"/>
      <c r="E17" s="81" t="s">
        <v>346</v>
      </c>
      <c r="F17" s="636"/>
      <c r="G17" s="637"/>
      <c r="H17" s="638"/>
      <c r="I17" s="27"/>
      <c r="J17" s="27"/>
      <c r="K17" s="27"/>
      <c r="L17" s="27"/>
      <c r="M17" s="27"/>
      <c r="N17" s="27"/>
      <c r="O17" s="27"/>
      <c r="P17" s="27"/>
      <c r="Q17" s="27"/>
      <c r="R17" s="27"/>
      <c r="S17" s="27"/>
      <c r="T17" s="33" t="s">
        <v>112</v>
      </c>
      <c r="U17" s="27"/>
      <c r="V17" s="27"/>
      <c r="W17" s="27"/>
      <c r="X17" s="27"/>
      <c r="Y17" s="27"/>
    </row>
    <row r="18" spans="2:25" ht="29.25" hidden="1" customHeight="1">
      <c r="B18" s="63">
        <f t="shared" si="1"/>
        <v>6</v>
      </c>
      <c r="C18" s="716" t="s">
        <v>196</v>
      </c>
      <c r="D18" s="618"/>
      <c r="E18" s="81" t="s">
        <v>346</v>
      </c>
      <c r="F18" s="636" t="s">
        <v>198</v>
      </c>
      <c r="G18" s="637"/>
      <c r="H18" s="638"/>
      <c r="I18" s="27"/>
      <c r="J18" s="27"/>
      <c r="K18" s="27"/>
      <c r="L18" s="27"/>
      <c r="M18" s="27"/>
      <c r="N18" s="27"/>
      <c r="O18" s="33" t="s">
        <v>112</v>
      </c>
      <c r="P18" s="27"/>
      <c r="Q18" s="27"/>
      <c r="R18" s="27"/>
      <c r="S18" s="27"/>
      <c r="T18" s="27"/>
      <c r="U18" s="27"/>
      <c r="V18" s="27"/>
      <c r="W18" s="27"/>
      <c r="X18" s="27"/>
      <c r="Y18" s="27"/>
    </row>
    <row r="19" spans="2:25" ht="29.25" hidden="1" customHeight="1">
      <c r="B19" s="63">
        <f>+B18+1</f>
        <v>7</v>
      </c>
      <c r="C19" s="716" t="s">
        <v>199</v>
      </c>
      <c r="D19" s="618"/>
      <c r="E19" s="81">
        <v>45028</v>
      </c>
      <c r="F19" s="636" t="s">
        <v>347</v>
      </c>
      <c r="G19" s="637"/>
      <c r="H19" s="638"/>
      <c r="I19" s="27"/>
      <c r="J19" s="27"/>
      <c r="K19" s="27"/>
      <c r="L19" s="27"/>
      <c r="M19" s="27"/>
      <c r="N19" s="27"/>
      <c r="O19" s="33" t="s">
        <v>112</v>
      </c>
      <c r="P19" s="27"/>
      <c r="Q19" s="27"/>
      <c r="R19" s="27"/>
      <c r="S19" s="26"/>
      <c r="T19" s="27"/>
      <c r="U19" s="27"/>
      <c r="V19" s="27"/>
      <c r="W19" s="27"/>
      <c r="X19" s="27"/>
      <c r="Y19" s="27"/>
    </row>
    <row r="20" spans="2:25" ht="29.25" customHeight="1">
      <c r="B20" s="63">
        <f t="shared" si="1"/>
        <v>8</v>
      </c>
      <c r="C20" s="518" t="s">
        <v>109</v>
      </c>
      <c r="D20" s="518"/>
      <c r="E20" s="81" t="s">
        <v>352</v>
      </c>
      <c r="F20" s="596" t="s">
        <v>353</v>
      </c>
      <c r="G20" s="593"/>
      <c r="H20" s="593"/>
      <c r="I20" s="27"/>
      <c r="J20" s="27"/>
      <c r="K20" s="27"/>
      <c r="L20" s="27"/>
      <c r="M20" s="27"/>
      <c r="N20" s="27"/>
      <c r="O20" s="27"/>
      <c r="P20" s="27"/>
      <c r="Q20" s="27"/>
      <c r="R20" s="27"/>
      <c r="S20" s="27"/>
      <c r="T20" s="27"/>
      <c r="U20" s="27"/>
      <c r="V20" s="27"/>
      <c r="W20" s="33" t="s">
        <v>112</v>
      </c>
      <c r="X20" s="27"/>
      <c r="Y20" s="27"/>
    </row>
    <row r="21" spans="2:25" ht="29.25" customHeight="1">
      <c r="B21" s="63">
        <f t="shared" si="1"/>
        <v>9</v>
      </c>
      <c r="C21" s="518" t="s">
        <v>110</v>
      </c>
      <c r="D21" s="518"/>
      <c r="E21" s="81">
        <v>45029</v>
      </c>
      <c r="F21" s="593"/>
      <c r="G21" s="593"/>
      <c r="H21" s="593"/>
      <c r="I21" s="27"/>
      <c r="J21" s="27"/>
      <c r="K21" s="27"/>
      <c r="L21" s="27"/>
      <c r="M21" s="27"/>
      <c r="N21" s="27"/>
      <c r="O21" s="27"/>
      <c r="P21" s="27"/>
      <c r="Q21" s="27"/>
      <c r="R21" s="27"/>
      <c r="S21" s="27"/>
      <c r="T21" s="27"/>
      <c r="U21" s="27"/>
      <c r="V21" s="27"/>
      <c r="W21" s="27"/>
      <c r="X21" s="27"/>
      <c r="Y21" s="27"/>
    </row>
    <row r="22" spans="2:25" ht="29.25" customHeight="1">
      <c r="B22" s="63">
        <f t="shared" si="1"/>
        <v>10</v>
      </c>
      <c r="C22" s="518" t="s">
        <v>146</v>
      </c>
      <c r="D22" s="518"/>
      <c r="E22" s="81" t="s">
        <v>356</v>
      </c>
      <c r="F22" s="596" t="s">
        <v>354</v>
      </c>
      <c r="G22" s="593"/>
      <c r="H22" s="593"/>
      <c r="I22" s="27"/>
      <c r="J22" s="27"/>
      <c r="K22" s="27"/>
      <c r="L22" s="27"/>
      <c r="M22" s="27"/>
      <c r="N22" s="27"/>
      <c r="O22" s="27"/>
      <c r="P22" s="27"/>
      <c r="Q22" s="27"/>
      <c r="R22" s="27"/>
      <c r="S22" s="27"/>
      <c r="T22" s="27"/>
      <c r="U22" s="27"/>
      <c r="V22" s="27"/>
      <c r="W22" s="27"/>
      <c r="X22" s="27"/>
      <c r="Y22" s="27"/>
    </row>
    <row r="23" spans="2:25" ht="29.25" customHeight="1">
      <c r="B23" s="63">
        <f t="shared" si="1"/>
        <v>11</v>
      </c>
      <c r="C23" s="518" t="s">
        <v>169</v>
      </c>
      <c r="D23" s="518"/>
      <c r="E23" s="81" t="s">
        <v>350</v>
      </c>
      <c r="F23" s="593" t="s">
        <v>292</v>
      </c>
      <c r="G23" s="593"/>
      <c r="H23" s="593"/>
      <c r="I23" s="27"/>
      <c r="J23" s="27"/>
      <c r="K23" s="27"/>
      <c r="L23" s="27"/>
      <c r="M23" s="27"/>
      <c r="N23" s="27"/>
      <c r="O23" s="27"/>
      <c r="P23" s="27"/>
      <c r="Q23" s="27"/>
      <c r="R23" s="27"/>
      <c r="S23" s="27"/>
      <c r="T23" s="27"/>
      <c r="U23" s="27"/>
      <c r="V23" s="27"/>
      <c r="W23" s="27"/>
      <c r="X23" s="27"/>
      <c r="Y23" s="27"/>
    </row>
    <row r="24" spans="2:25" ht="29.25" customHeight="1">
      <c r="B24" s="71">
        <f t="shared" si="1"/>
        <v>12</v>
      </c>
      <c r="C24" s="518" t="s">
        <v>134</v>
      </c>
      <c r="D24" s="518"/>
      <c r="E24" s="81" t="s">
        <v>350</v>
      </c>
      <c r="F24" s="593" t="s">
        <v>157</v>
      </c>
      <c r="G24" s="593"/>
      <c r="H24" s="593"/>
      <c r="I24" s="27"/>
      <c r="J24" s="27"/>
      <c r="K24" s="27"/>
      <c r="L24" s="27"/>
      <c r="M24" s="27"/>
      <c r="N24" s="27"/>
      <c r="O24" s="27"/>
      <c r="P24" s="27"/>
      <c r="Q24" s="27"/>
      <c r="R24" s="27"/>
      <c r="S24" s="27"/>
      <c r="T24" s="27"/>
      <c r="U24" s="27"/>
      <c r="V24" s="27"/>
      <c r="W24" s="27"/>
      <c r="X24" s="27"/>
      <c r="Y24" s="27"/>
    </row>
    <row r="25" spans="2:25" ht="29.25" customHeight="1">
      <c r="B25" s="63">
        <f t="shared" si="1"/>
        <v>13</v>
      </c>
      <c r="C25" s="518" t="s">
        <v>152</v>
      </c>
      <c r="D25" s="518"/>
      <c r="E25" s="81" t="s">
        <v>351</v>
      </c>
      <c r="F25" s="593"/>
      <c r="G25" s="593"/>
      <c r="H25" s="593"/>
      <c r="I25" s="27"/>
      <c r="J25" s="27"/>
      <c r="K25" s="27"/>
      <c r="L25" s="27"/>
      <c r="M25" s="27"/>
      <c r="N25" s="27"/>
      <c r="O25" s="27"/>
      <c r="P25" s="27"/>
      <c r="Q25" s="27"/>
      <c r="R25" s="27"/>
      <c r="S25" s="27"/>
      <c r="T25" s="27"/>
      <c r="U25" s="27"/>
      <c r="V25" s="27"/>
      <c r="W25" s="27"/>
      <c r="X25" s="27"/>
      <c r="Y25" s="27"/>
    </row>
    <row r="26" spans="2:25" ht="29.25" customHeight="1">
      <c r="B26" s="63">
        <f t="shared" si="1"/>
        <v>14</v>
      </c>
      <c r="C26" s="518" t="s">
        <v>161</v>
      </c>
      <c r="D26" s="518"/>
      <c r="E26" s="81" t="s">
        <v>348</v>
      </c>
      <c r="F26" s="593" t="s">
        <v>153</v>
      </c>
      <c r="G26" s="593"/>
      <c r="H26" s="593"/>
      <c r="I26" s="27"/>
      <c r="J26" s="27"/>
      <c r="K26" s="27"/>
      <c r="L26" s="27"/>
      <c r="M26" s="27"/>
      <c r="N26" s="27"/>
      <c r="O26" s="27"/>
      <c r="P26" s="27"/>
      <c r="Q26" s="27"/>
      <c r="R26" s="27"/>
      <c r="S26" s="27"/>
      <c r="T26" s="27"/>
      <c r="U26" s="27"/>
      <c r="V26" s="27"/>
      <c r="W26" s="27"/>
      <c r="X26" s="27"/>
      <c r="Y26" s="27"/>
    </row>
    <row r="27" spans="2:25" ht="29.25" customHeight="1">
      <c r="B27" s="63">
        <f t="shared" si="1"/>
        <v>15</v>
      </c>
      <c r="C27" s="518" t="s">
        <v>155</v>
      </c>
      <c r="D27" s="518"/>
      <c r="E27" s="81" t="s">
        <v>349</v>
      </c>
      <c r="F27" s="593"/>
      <c r="G27" s="593"/>
      <c r="H27" s="593"/>
      <c r="I27" s="27"/>
      <c r="J27" s="27"/>
      <c r="K27" s="27"/>
      <c r="L27" s="27"/>
      <c r="M27" s="27"/>
      <c r="N27" s="27"/>
      <c r="O27" s="27"/>
      <c r="P27" s="27"/>
      <c r="Q27" s="27"/>
      <c r="R27" s="27"/>
      <c r="S27" s="27"/>
      <c r="T27" s="27"/>
      <c r="U27" s="27"/>
      <c r="V27" s="27"/>
      <c r="W27" s="27"/>
      <c r="X27" s="27"/>
      <c r="Y27" s="27"/>
    </row>
    <row r="34" ht="20.100000000000001" customHeight="1"/>
    <row r="35" ht="20.100000000000001" customHeight="1"/>
    <row r="36" ht="20.100000000000001" customHeight="1"/>
  </sheetData>
  <mergeCells count="39">
    <mergeCell ref="C23:D23"/>
    <mergeCell ref="F23:H23"/>
    <mergeCell ref="C27:D27"/>
    <mergeCell ref="F27:H27"/>
    <mergeCell ref="C24:D24"/>
    <mergeCell ref="F24:H24"/>
    <mergeCell ref="C25:D25"/>
    <mergeCell ref="F25:H25"/>
    <mergeCell ref="C26:D26"/>
    <mergeCell ref="F26:H26"/>
    <mergeCell ref="C20:D20"/>
    <mergeCell ref="F20:H20"/>
    <mergeCell ref="C21:D21"/>
    <mergeCell ref="F21:H21"/>
    <mergeCell ref="C22:D22"/>
    <mergeCell ref="F22:H22"/>
    <mergeCell ref="C17:D17"/>
    <mergeCell ref="F17:H17"/>
    <mergeCell ref="C18:D18"/>
    <mergeCell ref="F18:H18"/>
    <mergeCell ref="C19:D19"/>
    <mergeCell ref="F19:H19"/>
    <mergeCell ref="C14:D14"/>
    <mergeCell ref="F14:H14"/>
    <mergeCell ref="C15:D15"/>
    <mergeCell ref="F15:H15"/>
    <mergeCell ref="C16:D16"/>
    <mergeCell ref="F16:H16"/>
    <mergeCell ref="B5:B7"/>
    <mergeCell ref="C5:C7"/>
    <mergeCell ref="C13:D13"/>
    <mergeCell ref="F13:H13"/>
    <mergeCell ref="B3:B4"/>
    <mergeCell ref="C3:C4"/>
    <mergeCell ref="D3:D4"/>
    <mergeCell ref="E3:E4"/>
    <mergeCell ref="F3:M3"/>
    <mergeCell ref="C12:D12"/>
    <mergeCell ref="F12:H1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1</vt:i4>
      </vt:variant>
    </vt:vector>
  </HeadingPairs>
  <TitlesOfParts>
    <vt:vector size="11" baseType="lpstr">
      <vt:lpstr>품목별현황 - 상세</vt:lpstr>
      <vt:lpstr>현황</vt:lpstr>
      <vt:lpstr>-</vt:lpstr>
      <vt:lpstr>세부내용</vt:lpstr>
      <vt:lpstr>선합지 일정</vt:lpstr>
      <vt:lpstr>AOI일정표</vt:lpstr>
      <vt:lpstr>OCA시범 운영</vt:lpstr>
      <vt:lpstr>PL시범 운영</vt:lpstr>
      <vt:lpstr>SUS시범 운영 </vt:lpstr>
      <vt:lpstr>DECO시범 운영</vt:lpstr>
      <vt:lpstr>현황!Print_Area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SG-Public01</dc:creator>
  <cp:lastModifiedBy>IT-ADMIN</cp:lastModifiedBy>
  <cp:lastPrinted>2023-06-17T10:51:21Z</cp:lastPrinted>
  <dcterms:created xsi:type="dcterms:W3CDTF">2023-03-11T08:13:23Z</dcterms:created>
  <dcterms:modified xsi:type="dcterms:W3CDTF">2023-07-05T02:48:23Z</dcterms:modified>
</cp:coreProperties>
</file>